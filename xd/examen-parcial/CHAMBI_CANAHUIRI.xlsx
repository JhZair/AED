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en-parcial\"/>
    </mc:Choice>
  </mc:AlternateContent>
  <xr:revisionPtr revIDLastSave="0" documentId="8_{B1981759-52AE-4C34-9A86-0D648015455A}" xr6:coauthVersionLast="36" xr6:coauthVersionMax="36" xr10:uidLastSave="{00000000-0000-0000-0000-000000000000}"/>
  <bookViews>
    <workbookView xWindow="-105" yWindow="-105" windowWidth="23250" windowHeight="12570" activeTab="1" xr2:uid="{605BDB60-F8C2-457F-961A-5B6A6385DC8A}"/>
  </bookViews>
  <sheets>
    <sheet name="1" sheetId="1" r:id="rId1"/>
    <sheet name="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0" i="3" l="1"/>
  <c r="H140" i="3"/>
  <c r="I140" i="3"/>
  <c r="J140" i="3"/>
  <c r="K140" i="3"/>
  <c r="F140" i="3"/>
  <c r="D140" i="3"/>
  <c r="E140" i="3"/>
  <c r="C140" i="3"/>
  <c r="B140" i="3"/>
  <c r="B136" i="3"/>
  <c r="F137" i="3" a="1"/>
  <c r="H137" i="3" s="1"/>
  <c r="F137" i="3"/>
  <c r="G137" i="3"/>
  <c r="J137" i="3"/>
  <c r="K137" i="3"/>
  <c r="G138" i="3"/>
  <c r="H138" i="3"/>
  <c r="I138" i="3"/>
  <c r="J138" i="3"/>
  <c r="K138" i="3"/>
  <c r="F139" i="3"/>
  <c r="G139" i="3"/>
  <c r="H139" i="3"/>
  <c r="I139" i="3"/>
  <c r="J139" i="3"/>
  <c r="K139" i="3"/>
  <c r="D135" i="3"/>
  <c r="E135" i="3"/>
  <c r="F135" i="3"/>
  <c r="G135" i="3"/>
  <c r="H135" i="3"/>
  <c r="I135" i="3"/>
  <c r="J135" i="3"/>
  <c r="K135" i="3"/>
  <c r="C135" i="3"/>
  <c r="B135" i="3"/>
  <c r="K134" i="3"/>
  <c r="B133" i="3"/>
  <c r="B132" i="3"/>
  <c r="D131" i="3"/>
  <c r="E131" i="3"/>
  <c r="F131" i="3"/>
  <c r="G131" i="3"/>
  <c r="H131" i="3"/>
  <c r="I131" i="3"/>
  <c r="J131" i="3"/>
  <c r="K131" i="3"/>
  <c r="C131" i="3"/>
  <c r="D129" i="3"/>
  <c r="E129" i="3"/>
  <c r="F129" i="3"/>
  <c r="G129" i="3"/>
  <c r="H129" i="3"/>
  <c r="I129" i="3"/>
  <c r="J129" i="3"/>
  <c r="K129" i="3"/>
  <c r="C129" i="3"/>
  <c r="H128" i="3"/>
  <c r="G128" i="3"/>
  <c r="D128" i="3"/>
  <c r="E128" i="3"/>
  <c r="F128" i="3"/>
  <c r="I128" i="3"/>
  <c r="J128" i="3"/>
  <c r="K128" i="3"/>
  <c r="C128" i="3"/>
  <c r="D127" i="3"/>
  <c r="E127" i="3"/>
  <c r="F127" i="3"/>
  <c r="G127" i="3"/>
  <c r="H127" i="3"/>
  <c r="I127" i="3"/>
  <c r="J127" i="3"/>
  <c r="K127" i="3"/>
  <c r="C127" i="3"/>
  <c r="E79" i="3"/>
  <c r="E78" i="3"/>
  <c r="D79" i="3"/>
  <c r="C79" i="3"/>
  <c r="F79" i="3"/>
  <c r="G79" i="3"/>
  <c r="H79" i="3"/>
  <c r="I79" i="3"/>
  <c r="J79" i="3"/>
  <c r="K79" i="3"/>
  <c r="C126" i="3" a="1"/>
  <c r="C126" i="3" s="1"/>
  <c r="E112" i="3"/>
  <c r="D112" i="3"/>
  <c r="D115" i="3"/>
  <c r="E113" i="3"/>
  <c r="D113" i="3"/>
  <c r="C113" i="3"/>
  <c r="C112" i="3"/>
  <c r="C111" i="3"/>
  <c r="K106" i="3"/>
  <c r="K104" i="3"/>
  <c r="K105" i="3"/>
  <c r="H109" i="3"/>
  <c r="H104" i="3"/>
  <c r="E109" i="3"/>
  <c r="B109" i="3"/>
  <c r="B90" i="3"/>
  <c r="D91" i="3" s="1"/>
  <c r="B89" i="3"/>
  <c r="B88" i="3"/>
  <c r="B87" i="3"/>
  <c r="D73" i="3"/>
  <c r="C73" i="3"/>
  <c r="F92" i="3"/>
  <c r="F93" i="3" s="1"/>
  <c r="F94" i="3" s="1"/>
  <c r="F95" i="3" s="1"/>
  <c r="F96" i="3" s="1"/>
  <c r="D89" i="3"/>
  <c r="D90" i="3"/>
  <c r="D88" i="3"/>
  <c r="D81" i="3"/>
  <c r="F81" i="3"/>
  <c r="H81" i="3" s="1"/>
  <c r="J81" i="3" s="1"/>
  <c r="E81" i="3"/>
  <c r="G81" i="3" s="1"/>
  <c r="I81" i="3" s="1"/>
  <c r="K81" i="3" s="1"/>
  <c r="D80" i="3"/>
  <c r="E80" i="3" s="1"/>
  <c r="F80" i="3" s="1"/>
  <c r="G80" i="3" s="1"/>
  <c r="H80" i="3" s="1"/>
  <c r="I80" i="3" s="1"/>
  <c r="J80" i="3" s="1"/>
  <c r="K80" i="3" s="1"/>
  <c r="K78" i="3"/>
  <c r="D78" i="3"/>
  <c r="F78" i="3" s="1"/>
  <c r="H78" i="3" s="1"/>
  <c r="J78" i="3" s="1"/>
  <c r="G78" i="3"/>
  <c r="I78" i="3" s="1"/>
  <c r="B42" i="3"/>
  <c r="D48" i="3"/>
  <c r="D49" i="3"/>
  <c r="D50" i="3"/>
  <c r="D51" i="3"/>
  <c r="D52" i="3"/>
  <c r="D53" i="3" s="1"/>
  <c r="D54" i="3" s="1"/>
  <c r="D55" i="3" s="1"/>
  <c r="B61" i="3" s="1"/>
  <c r="D47" i="3"/>
  <c r="B43" i="3"/>
  <c r="B47" i="3"/>
  <c r="C47" i="3"/>
  <c r="C48" i="3" s="1"/>
  <c r="C49" i="3" s="1"/>
  <c r="C50" i="3" s="1"/>
  <c r="C51" i="3" s="1"/>
  <c r="C52" i="3" s="1"/>
  <c r="C53" i="3" s="1"/>
  <c r="C54" i="3" s="1"/>
  <c r="C55" i="3" s="1"/>
  <c r="B48" i="3"/>
  <c r="B49" i="3"/>
  <c r="B50" i="3"/>
  <c r="B51" i="3"/>
  <c r="B52" i="3"/>
  <c r="B53" i="3"/>
  <c r="B54" i="3"/>
  <c r="B55" i="3"/>
  <c r="B60" i="3"/>
  <c r="D46" i="3"/>
  <c r="G72" i="3"/>
  <c r="D72" i="3"/>
  <c r="F72" i="3"/>
  <c r="H72" i="3"/>
  <c r="J72" i="3" s="1"/>
  <c r="I72" i="3"/>
  <c r="K72" i="3"/>
  <c r="E72" i="3"/>
  <c r="B41" i="3"/>
  <c r="R31" i="1"/>
  <c r="T31" i="1" s="1"/>
  <c r="R30" i="1"/>
  <c r="T30" i="1" s="1"/>
  <c r="R29" i="1"/>
  <c r="T29" i="1" s="1"/>
  <c r="R28" i="1"/>
  <c r="R27" i="1"/>
  <c r="R26" i="1"/>
  <c r="R25" i="1"/>
  <c r="R24" i="1"/>
  <c r="R23" i="1"/>
  <c r="S29" i="1"/>
  <c r="S30" i="1"/>
  <c r="S31" i="1"/>
  <c r="S28" i="1"/>
  <c r="S27" i="1"/>
  <c r="S25" i="1"/>
  <c r="S24" i="1"/>
  <c r="S23" i="1"/>
  <c r="G24" i="1"/>
  <c r="I24" i="1" s="1"/>
  <c r="G28" i="1"/>
  <c r="I28" i="1" s="1"/>
  <c r="F27" i="1"/>
  <c r="F26" i="1"/>
  <c r="H27" i="1"/>
  <c r="H28" i="1"/>
  <c r="G27" i="1"/>
  <c r="G26" i="1"/>
  <c r="G25" i="1"/>
  <c r="G23" i="1"/>
  <c r="I23" i="1" s="1"/>
  <c r="G22" i="1"/>
  <c r="I22" i="1" s="1"/>
  <c r="R22" i="1"/>
  <c r="Q23" i="1"/>
  <c r="Q24" i="1"/>
  <c r="Q25" i="1"/>
  <c r="Q26" i="1"/>
  <c r="Q27" i="1"/>
  <c r="Q28" i="1"/>
  <c r="Q29" i="1"/>
  <c r="Q30" i="1"/>
  <c r="Q31" i="1"/>
  <c r="Q22" i="1"/>
  <c r="P24" i="1"/>
  <c r="P25" i="1"/>
  <c r="P26" i="1"/>
  <c r="P27" i="1"/>
  <c r="P28" i="1" s="1"/>
  <c r="P29" i="1" s="1"/>
  <c r="P30" i="1" s="1"/>
  <c r="P31" i="1" s="1"/>
  <c r="P23" i="1"/>
  <c r="O30" i="1"/>
  <c r="O29" i="1"/>
  <c r="O31" i="1" s="1"/>
  <c r="O24" i="1"/>
  <c r="O23" i="1"/>
  <c r="O28" i="1"/>
  <c r="O25" i="1"/>
  <c r="O26" i="1"/>
  <c r="O27" i="1" s="1"/>
  <c r="I25" i="1"/>
  <c r="H23" i="1"/>
  <c r="H24" i="1"/>
  <c r="H25" i="1"/>
  <c r="H26" i="1"/>
  <c r="H22" i="1"/>
  <c r="F25" i="1"/>
  <c r="F24" i="1"/>
  <c r="F22" i="1"/>
  <c r="F23" i="1"/>
  <c r="F28" i="1"/>
  <c r="E28" i="1"/>
  <c r="E23" i="1"/>
  <c r="E24" i="1"/>
  <c r="E25" i="1"/>
  <c r="E26" i="1"/>
  <c r="E27" i="1"/>
  <c r="E22" i="1"/>
  <c r="D24" i="1"/>
  <c r="D25" i="1"/>
  <c r="D26" i="1"/>
  <c r="D27" i="1"/>
  <c r="D28" i="1"/>
  <c r="D23" i="1"/>
  <c r="B35" i="3"/>
  <c r="F138" i="3" l="1"/>
  <c r="I137" i="3"/>
  <c r="K126" i="3"/>
  <c r="J126" i="3"/>
  <c r="I126" i="3"/>
  <c r="H126" i="3"/>
  <c r="G126" i="3"/>
  <c r="F126" i="3"/>
  <c r="E126" i="3"/>
  <c r="D126" i="3"/>
  <c r="E91" i="3"/>
  <c r="C91" i="3"/>
  <c r="B91" i="3" s="1"/>
  <c r="D74" i="3"/>
  <c r="D77" i="3"/>
  <c r="E73" i="3"/>
  <c r="C74" i="3"/>
  <c r="C77" i="3"/>
  <c r="I26" i="1"/>
  <c r="I27" i="1"/>
  <c r="T23" i="1"/>
  <c r="S22" i="1"/>
  <c r="T22" i="1" s="1"/>
  <c r="D92" i="3" l="1"/>
  <c r="E74" i="3"/>
  <c r="F73" i="3"/>
  <c r="E77" i="3"/>
  <c r="C92" i="3" l="1"/>
  <c r="B92" i="3" s="1"/>
  <c r="D93" i="3" s="1"/>
  <c r="E92" i="3"/>
  <c r="F77" i="3"/>
  <c r="F74" i="3"/>
  <c r="G73" i="3"/>
  <c r="T24" i="1"/>
  <c r="T25" i="1"/>
  <c r="E93" i="3" l="1"/>
  <c r="C93" i="3"/>
  <c r="B93" i="3" s="1"/>
  <c r="D94" i="3" s="1"/>
  <c r="H73" i="3"/>
  <c r="G74" i="3"/>
  <c r="G77" i="3"/>
  <c r="S26" i="1"/>
  <c r="T26" i="1" s="1"/>
  <c r="C94" i="3" l="1"/>
  <c r="B94" i="3" s="1"/>
  <c r="D95" i="3" s="1"/>
  <c r="C95" i="3" s="1"/>
  <c r="B95" i="3" s="1"/>
  <c r="E94" i="3"/>
  <c r="I73" i="3"/>
  <c r="H74" i="3"/>
  <c r="H77" i="3"/>
  <c r="T28" i="1"/>
  <c r="T27" i="1"/>
  <c r="E95" i="3" l="1"/>
  <c r="D96" i="3"/>
  <c r="I77" i="3"/>
  <c r="I74" i="3"/>
  <c r="E96" i="3" l="1"/>
  <c r="C96" i="3"/>
  <c r="B96" i="3" s="1"/>
  <c r="B97" i="3" s="1"/>
  <c r="J74" i="3"/>
  <c r="J77" i="3"/>
  <c r="K74" i="3" l="1"/>
  <c r="K77" i="3"/>
</calcChain>
</file>

<file path=xl/sharedStrings.xml><?xml version="1.0" encoding="utf-8"?>
<sst xmlns="http://schemas.openxmlformats.org/spreadsheetml/2006/main" count="95" uniqueCount="89">
  <si>
    <t>Inversión</t>
  </si>
  <si>
    <t>Valor de adquisición</t>
  </si>
  <si>
    <t>Valor residual</t>
  </si>
  <si>
    <t>dep anual</t>
  </si>
  <si>
    <t>Años</t>
  </si>
  <si>
    <t>Cargo de depreciación</t>
  </si>
  <si>
    <t>Depreciación acumulada</t>
  </si>
  <si>
    <t>Valor en libros</t>
  </si>
  <si>
    <t>Valor de mercado del terreno</t>
  </si>
  <si>
    <t>b. Flujo de caja terminal</t>
  </si>
  <si>
    <t>Valor residual (VR) VALOR DE MERCADO</t>
  </si>
  <si>
    <t>Valor neto contable (VNC)</t>
  </si>
  <si>
    <t>Plusvalía (VR - VNC)</t>
  </si>
  <si>
    <t>Impuestos plusvalía (29.5%)</t>
  </si>
  <si>
    <t>(+) Valor residual (VR)</t>
  </si>
  <si>
    <t>(-) Impuesto plusvalía</t>
  </si>
  <si>
    <t>(+) Recuperación capital de trabajo</t>
  </si>
  <si>
    <t>Flujo de caja terminal</t>
  </si>
  <si>
    <t>Proyección de ventas</t>
  </si>
  <si>
    <t>Proyección de costo de materia prima</t>
  </si>
  <si>
    <t>d .Tabla de amortización</t>
  </si>
  <si>
    <t>Periodo</t>
  </si>
  <si>
    <t>Saldo del préstamo</t>
  </si>
  <si>
    <t>Amortización</t>
  </si>
  <si>
    <t xml:space="preserve">Intereses </t>
  </si>
  <si>
    <t>Escudo fiscal (29.5%)</t>
  </si>
  <si>
    <t>Cuota</t>
  </si>
  <si>
    <t>Ki</t>
  </si>
  <si>
    <t>unlevered beta=</t>
  </si>
  <si>
    <t>Beta compañía</t>
  </si>
  <si>
    <t>ku</t>
  </si>
  <si>
    <t>WACC</t>
  </si>
  <si>
    <t>Flujo del Inversionista</t>
  </si>
  <si>
    <t>Ingresos</t>
  </si>
  <si>
    <t>(+) Ventas</t>
  </si>
  <si>
    <t>(-) Egresos</t>
  </si>
  <si>
    <t>(-) Costos MP</t>
  </si>
  <si>
    <t>(-) CMOD</t>
  </si>
  <si>
    <t>(-) CF</t>
  </si>
  <si>
    <t>(-) Gastos adm y de ventas</t>
  </si>
  <si>
    <t>(-) Gasto de depreciación</t>
  </si>
  <si>
    <t>Utilidad antes de impuestos</t>
  </si>
  <si>
    <t>(-) Impuestos (29.5%)</t>
  </si>
  <si>
    <t>Utilidad después de impuestos</t>
  </si>
  <si>
    <t>(+) Depreciación</t>
  </si>
  <si>
    <t>Flujo neto de caja</t>
  </si>
  <si>
    <t>(-)Inversiones</t>
  </si>
  <si>
    <t>(-)Capital de trabajo</t>
  </si>
  <si>
    <t>(+) valor residual</t>
  </si>
  <si>
    <t>Flujo de caja económico</t>
  </si>
  <si>
    <t>(+) Principal</t>
  </si>
  <si>
    <t>(-) Amortización</t>
  </si>
  <si>
    <t>(-) Intereses</t>
  </si>
  <si>
    <t>(+) Escudo fiscal</t>
  </si>
  <si>
    <t>Flujo de caja financiero</t>
  </si>
  <si>
    <t>Flujo Económico</t>
  </si>
  <si>
    <t>Ku</t>
  </si>
  <si>
    <t>VAN</t>
  </si>
  <si>
    <t>TIR</t>
  </si>
  <si>
    <t>Flujo Financiero</t>
  </si>
  <si>
    <t>INVERSION TOTAL</t>
  </si>
  <si>
    <t>COA</t>
  </si>
  <si>
    <t>Rescate</t>
  </si>
  <si>
    <t>TMAR</t>
  </si>
  <si>
    <t>Costo de oportunidad</t>
  </si>
  <si>
    <t>Inversion</t>
  </si>
  <si>
    <t>Riesgo pais</t>
  </si>
  <si>
    <t xml:space="preserve">En estudios de mercado se identificó un nicho equivalente al 4% de la demanda total del sector snacks saludables, estimándose que esta demanda crecerá al ritmo de la población del 6% anual. Para el primer año se proyecta una demanda de 800,000.00 kilos la planta tiene una capacidad máxima de 1'200,000 kilos al año (no se financiarán expansiones). </t>
  </si>
  <si>
    <t>El precio de venta por kilo es S/14.50 con incremento del 4% cada dos años.</t>
  </si>
  <si>
    <t>El costo de materia prima es de S/2.10  el cuál crecerá en 3.5% anualmente y se necesita 1.35 kilos de materia prima para podrucir 1 kg de producto terminado. El costo de mano de obra es de S/2.5 por kilo de producto terminado y este costo crece en 2.5% cada 2 años. Los costos fijos de producción son S/ 2'500,000 al inicio, aumentando un 2.5% anual. Además, los gastos operacionales se estiman en S/ 1'200,000 iniciales, creciendo en S/ 60,000 cada dos años.</t>
  </si>
  <si>
    <t>Precio de venta por kilo</t>
  </si>
  <si>
    <t>Demanda</t>
  </si>
  <si>
    <t xml:space="preserve">Costo materia prima </t>
  </si>
  <si>
    <t>Costo de mano de obra</t>
  </si>
  <si>
    <t>Costos fijos de produccion</t>
  </si>
  <si>
    <t>Gastos operacionales</t>
  </si>
  <si>
    <t>El financiamiento será con 40% capital propio y 60% deuda comercial con TEA de 8.5%, cuotas anuales crecientes en 5%, y con tres perídos de gracia</t>
  </si>
  <si>
    <t xml:space="preserve">Tasa libre de riesgo: promedio de bonos del Tesoro estadounidense → 2.5%  Prima de riesgo del mercado: según Damodaran actualizado para Perú → 6.4%  Riesgo país: EMBIG Perú promedio 3.6 </t>
  </si>
  <si>
    <t>Beta de la industria de alimentos saludables: 1.05 Relación deuda/capital industria: 1.9 Relación deuda/capital de la empresa: estimada en 1.5 Tasa de impuesto a la renta: 29.5%</t>
  </si>
  <si>
    <t>b</t>
  </si>
  <si>
    <t>Ratio</t>
  </si>
  <si>
    <t>Rf</t>
  </si>
  <si>
    <t>Rm- Rf</t>
  </si>
  <si>
    <t>Rp</t>
  </si>
  <si>
    <t>kd</t>
  </si>
  <si>
    <t>T</t>
  </si>
  <si>
    <t>Deuda</t>
  </si>
  <si>
    <t>Capital</t>
  </si>
  <si>
    <t>Costo toal mano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</si>
</sst>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S/&quot;\ #,##0.00;[Red]\-&quot;S/&quot;\ #,##0.00"/>
    <numFmt numFmtId="43" formatCode="_-* #,##0.00_-;\-* #,##0.00_-;_-* &quot;-&quot;??_-;_-@_-"/>
    <numFmt numFmtId="164" formatCode="&quot;S/&quot;\ #,##0.00"/>
    <numFmt numFmtId="165" formatCode="0.000%"/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7030A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4" fontId="0" fillId="0" borderId="0" xfId="0" applyNumberFormat="1"/>
    <xf numFmtId="9" fontId="0" fillId="0" borderId="0" xfId="0" applyNumberFormat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164" fontId="0" fillId="0" borderId="3" xfId="0" applyNumberFormat="1" applyBorder="1"/>
    <xf numFmtId="164" fontId="0" fillId="0" borderId="0" xfId="0" applyNumberFormat="1"/>
    <xf numFmtId="164" fontId="0" fillId="0" borderId="1" xfId="0" applyNumberFormat="1" applyBorder="1"/>
    <xf numFmtId="0" fontId="6" fillId="3" borderId="3" xfId="0" applyFont="1" applyFill="1" applyBorder="1"/>
    <xf numFmtId="4" fontId="0" fillId="0" borderId="3" xfId="0" applyNumberFormat="1" applyBorder="1"/>
    <xf numFmtId="0" fontId="7" fillId="3" borderId="3" xfId="0" applyFont="1" applyFill="1" applyBorder="1"/>
    <xf numFmtId="4" fontId="3" fillId="0" borderId="3" xfId="0" applyNumberFormat="1" applyFont="1" applyBorder="1"/>
    <xf numFmtId="0" fontId="0" fillId="0" borderId="0" xfId="0" applyAlignment="1">
      <alignment horizontal="center" vertical="center"/>
    </xf>
    <xf numFmtId="0" fontId="8" fillId="0" borderId="0" xfId="0" applyFont="1"/>
    <xf numFmtId="10" fontId="0" fillId="0" borderId="0" xfId="0" applyNumberFormat="1"/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4" fontId="10" fillId="5" borderId="3" xfId="0" applyNumberFormat="1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4" fontId="10" fillId="5" borderId="0" xfId="0" applyNumberFormat="1" applyFont="1" applyFill="1" applyAlignment="1">
      <alignment horizontal="center" vertical="center" wrapText="1"/>
    </xf>
    <xf numFmtId="0" fontId="9" fillId="0" borderId="0" xfId="0" applyFont="1"/>
    <xf numFmtId="0" fontId="5" fillId="8" borderId="0" xfId="0" applyFont="1" applyFill="1"/>
    <xf numFmtId="165" fontId="5" fillId="8" borderId="0" xfId="0" applyNumberFormat="1" applyFont="1" applyFill="1"/>
    <xf numFmtId="166" fontId="0" fillId="0" borderId="0" xfId="0" applyNumberFormat="1"/>
    <xf numFmtId="0" fontId="5" fillId="0" borderId="0" xfId="0" applyFont="1"/>
    <xf numFmtId="166" fontId="5" fillId="0" borderId="0" xfId="0" applyNumberFormat="1" applyFont="1"/>
    <xf numFmtId="10" fontId="0" fillId="0" borderId="0" xfId="1" applyNumberFormat="1" applyFont="1" applyAlignment="1">
      <alignment horizontal="center" vertical="center"/>
    </xf>
    <xf numFmtId="165" fontId="0" fillId="0" borderId="0" xfId="0" applyNumberFormat="1"/>
    <xf numFmtId="10" fontId="11" fillId="8" borderId="0" xfId="1" applyNumberFormat="1" applyFont="1" applyFill="1" applyAlignment="1">
      <alignment horizontal="center" vertical="center"/>
    </xf>
    <xf numFmtId="0" fontId="1" fillId="0" borderId="13" xfId="0" applyFont="1" applyBorder="1"/>
    <xf numFmtId="0" fontId="3" fillId="0" borderId="13" xfId="0" applyFont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indent="1"/>
    </xf>
    <xf numFmtId="0" fontId="3" fillId="2" borderId="3" xfId="0" applyFont="1" applyFill="1" applyBorder="1"/>
    <xf numFmtId="4" fontId="13" fillId="2" borderId="3" xfId="0" applyNumberFormat="1" applyFont="1" applyFill="1" applyBorder="1"/>
    <xf numFmtId="0" fontId="1" fillId="0" borderId="4" xfId="0" applyFont="1" applyBorder="1"/>
    <xf numFmtId="0" fontId="2" fillId="0" borderId="4" xfId="0" applyFont="1" applyBorder="1" applyAlignment="1">
      <alignment horizontal="left" indent="1"/>
    </xf>
    <xf numFmtId="4" fontId="2" fillId="0" borderId="3" xfId="0" applyNumberFormat="1" applyFont="1" applyBorder="1"/>
    <xf numFmtId="0" fontId="2" fillId="0" borderId="14" xfId="0" applyFont="1" applyBorder="1" applyAlignment="1">
      <alignment horizontal="left" indent="1"/>
    </xf>
    <xf numFmtId="0" fontId="0" fillId="0" borderId="15" xfId="0" applyBorder="1"/>
    <xf numFmtId="4" fontId="2" fillId="0" borderId="15" xfId="0" applyNumberFormat="1" applyFont="1" applyBorder="1"/>
    <xf numFmtId="0" fontId="14" fillId="0" borderId="11" xfId="0" applyFont="1" applyBorder="1"/>
    <xf numFmtId="0" fontId="3" fillId="0" borderId="16" xfId="0" applyFont="1" applyBorder="1"/>
    <xf numFmtId="4" fontId="3" fillId="0" borderId="16" xfId="0" applyNumberFormat="1" applyFont="1" applyBorder="1"/>
    <xf numFmtId="0" fontId="2" fillId="0" borderId="17" xfId="0" applyFont="1" applyBorder="1" applyAlignment="1">
      <alignment horizontal="left" indent="1"/>
    </xf>
    <xf numFmtId="0" fontId="0" fillId="0" borderId="18" xfId="0" applyBorder="1"/>
    <xf numFmtId="0" fontId="1" fillId="0" borderId="17" xfId="0" applyFont="1" applyBorder="1" applyAlignment="1">
      <alignment horizontal="left" indent="1"/>
    </xf>
    <xf numFmtId="4" fontId="0" fillId="0" borderId="18" xfId="0" applyNumberFormat="1" applyBorder="1"/>
    <xf numFmtId="0" fontId="2" fillId="7" borderId="19" xfId="0" applyFont="1" applyFill="1" applyBorder="1" applyAlignment="1">
      <alignment horizontal="left" indent="1"/>
    </xf>
    <xf numFmtId="164" fontId="2" fillId="7" borderId="13" xfId="0" applyNumberFormat="1" applyFont="1" applyFill="1" applyBorder="1"/>
    <xf numFmtId="0" fontId="2" fillId="7" borderId="4" xfId="0" applyFont="1" applyFill="1" applyBorder="1" applyAlignment="1">
      <alignment horizontal="left" indent="1"/>
    </xf>
    <xf numFmtId="164" fontId="2" fillId="7" borderId="3" xfId="0" applyNumberFormat="1" applyFont="1" applyFill="1" applyBorder="1"/>
    <xf numFmtId="0" fontId="0" fillId="7" borderId="14" xfId="0" applyFill="1" applyBorder="1" applyAlignment="1">
      <alignment horizontal="left" indent="1"/>
    </xf>
    <xf numFmtId="0" fontId="0" fillId="7" borderId="15" xfId="0" applyFill="1" applyBorder="1"/>
    <xf numFmtId="4" fontId="0" fillId="7" borderId="15" xfId="0" applyNumberFormat="1" applyFill="1" applyBorder="1"/>
    <xf numFmtId="0" fontId="14" fillId="4" borderId="11" xfId="0" applyFont="1" applyFill="1" applyBorder="1"/>
    <xf numFmtId="164" fontId="3" fillId="4" borderId="16" xfId="0" applyNumberFormat="1" applyFont="1" applyFill="1" applyBorder="1"/>
    <xf numFmtId="0" fontId="15" fillId="5" borderId="19" xfId="0" applyFont="1" applyFill="1" applyBorder="1" applyAlignment="1">
      <alignment wrapText="1"/>
    </xf>
    <xf numFmtId="4" fontId="0" fillId="0" borderId="13" xfId="0" applyNumberFormat="1" applyBorder="1"/>
    <xf numFmtId="0" fontId="15" fillId="5" borderId="4" xfId="0" applyFont="1" applyFill="1" applyBorder="1" applyAlignment="1">
      <alignment wrapText="1"/>
    </xf>
    <xf numFmtId="4" fontId="0" fillId="0" borderId="15" xfId="0" applyNumberFormat="1" applyBorder="1"/>
    <xf numFmtId="0" fontId="15" fillId="5" borderId="14" xfId="0" applyFont="1" applyFill="1" applyBorder="1" applyAlignment="1">
      <alignment wrapText="1"/>
    </xf>
    <xf numFmtId="0" fontId="14" fillId="9" borderId="11" xfId="0" applyFont="1" applyFill="1" applyBorder="1"/>
    <xf numFmtId="4" fontId="3" fillId="9" borderId="16" xfId="0" applyNumberFormat="1" applyFont="1" applyFill="1" applyBorder="1"/>
    <xf numFmtId="0" fontId="10" fillId="5" borderId="3" xfId="0" applyFont="1" applyFill="1" applyBorder="1" applyAlignment="1">
      <alignment wrapText="1"/>
    </xf>
    <xf numFmtId="165" fontId="0" fillId="0" borderId="3" xfId="0" applyNumberFormat="1" applyBorder="1"/>
    <xf numFmtId="10" fontId="0" fillId="0" borderId="3" xfId="0" applyNumberFormat="1" applyBorder="1"/>
    <xf numFmtId="0" fontId="3" fillId="0" borderId="3" xfId="0" applyFont="1" applyBorder="1"/>
    <xf numFmtId="0" fontId="16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43" fontId="0" fillId="0" borderId="0" xfId="2" applyFont="1"/>
    <xf numFmtId="43" fontId="0" fillId="0" borderId="1" xfId="2" applyFont="1" applyBorder="1"/>
    <xf numFmtId="8" fontId="0" fillId="0" borderId="3" xfId="0" applyNumberFormat="1" applyBorder="1"/>
    <xf numFmtId="4" fontId="17" fillId="0" borderId="0" xfId="0" applyNumberFormat="1" applyFont="1"/>
    <xf numFmtId="0" fontId="3" fillId="0" borderId="6" xfId="0" applyFont="1" applyBorder="1" applyAlignment="1"/>
    <xf numFmtId="0" fontId="3" fillId="0" borderId="7" xfId="0" applyFont="1" applyBorder="1" applyAlignment="1"/>
    <xf numFmtId="43" fontId="3" fillId="0" borderId="7" xfId="2" applyFont="1" applyBorder="1" applyAlignment="1"/>
    <xf numFmtId="4" fontId="10" fillId="6" borderId="3" xfId="0" applyNumberFormat="1" applyFont="1" applyFill="1" applyBorder="1" applyAlignment="1">
      <alignment horizontal="center" vertical="center" wrapText="1"/>
    </xf>
    <xf numFmtId="10" fontId="5" fillId="8" borderId="0" xfId="1" applyNumberFormat="1" applyFont="1" applyFill="1"/>
    <xf numFmtId="4" fontId="0" fillId="0" borderId="0" xfId="0" applyNumberFormat="1" applyAlignment="1">
      <alignment horizontal="center" vertical="center"/>
    </xf>
    <xf numFmtId="43" fontId="0" fillId="0" borderId="0" xfId="2" applyFont="1" applyAlignment="1">
      <alignment horizontal="center" vertical="center"/>
    </xf>
    <xf numFmtId="10" fontId="11" fillId="8" borderId="0" xfId="1" applyNumberFormat="1" applyFont="1" applyFill="1"/>
    <xf numFmtId="165" fontId="5" fillId="0" borderId="0" xfId="1" applyNumberFormat="1" applyFont="1"/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137160</xdr:rowOff>
    </xdr:from>
    <xdr:to>
      <xdr:col>11</xdr:col>
      <xdr:colOff>91440</xdr:colOff>
      <xdr:row>14</xdr:row>
      <xdr:rowOff>144780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0B31ABD-7B2F-4C0E-B2F2-F14618820D97}"/>
            </a:ext>
          </a:extLst>
        </xdr:cNvPr>
        <xdr:cNvSpPr txBox="1"/>
      </xdr:nvSpPr>
      <xdr:spPr>
        <a:xfrm>
          <a:off x="190500" y="137160"/>
          <a:ext cx="8618220" cy="2567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b="1"/>
            <a:t>Vida Económica Defensor- Retador (8 puntos)</a:t>
          </a:r>
        </a:p>
        <a:p>
          <a:r>
            <a:rPr lang="es-PE" b="0"/>
            <a:t>La empresa AgroEnvases del Sur S.A.C. produce empaques para productos agrícolas. Hace 11 años compró una selladora automática por S/ 82,000,</a:t>
          </a:r>
          <a:r>
            <a:rPr lang="es-PE" b="0" baseline="0"/>
            <a:t> la cual se deprecia por sus horas de trabajo, con un rescate contable del 10%.</a:t>
          </a:r>
          <a:r>
            <a:rPr lang="es-PE" b="0"/>
            <a:t> Durante su uso ha tenido múltiples reparaciones.</a:t>
          </a:r>
          <a:r>
            <a:rPr lang="es-PE" b="0" baseline="0"/>
            <a:t> </a:t>
          </a:r>
          <a:r>
            <a:rPr lang="es-PE" b="0">
              <a:solidFill>
                <a:srgbClr val="FF0000"/>
              </a:solidFill>
            </a:rPr>
            <a:t>Su valor de mercado estimado actualmente es</a:t>
          </a:r>
          <a:r>
            <a:rPr lang="es-PE" b="0" baseline="0">
              <a:solidFill>
                <a:srgbClr val="FF0000"/>
              </a:solidFill>
            </a:rPr>
            <a:t> de</a:t>
          </a:r>
          <a:r>
            <a:rPr lang="es-PE" b="0">
              <a:solidFill>
                <a:srgbClr val="FF0000"/>
              </a:solidFill>
            </a:rPr>
            <a:t> S/ 22,000.</a:t>
          </a:r>
          <a:r>
            <a:rPr lang="es-PE" b="0" baseline="0">
              <a:solidFill>
                <a:srgbClr val="FF0000"/>
              </a:solidFill>
            </a:rPr>
            <a:t> </a:t>
          </a:r>
          <a:r>
            <a:rPr lang="es-PE" b="0">
              <a:solidFill>
                <a:srgbClr val="FF0000"/>
              </a:solidFill>
            </a:rPr>
            <a:t>Si la empresa decide conservar la selladora, deberá invertir S/ 6,000 en revisiones mecánicas y S/ 3,000 en inspección eléctrica</a:t>
          </a:r>
          <a:r>
            <a:rPr lang="es-PE" b="0"/>
            <a:t>. </a:t>
          </a:r>
          <a:r>
            <a:rPr lang="es-PE" b="0">
              <a:solidFill>
                <a:srgbClr val="FF0000"/>
              </a:solidFill>
            </a:rPr>
            <a:t>Sus costos operativos actuales son de S/ 13,000 el primer año y aumentan en S/ 1,800 anuales. Se espera que su valor de mercado baje en 20% por año</a:t>
          </a:r>
          <a:r>
            <a:rPr lang="es-PE" b="0" baseline="0">
              <a:solidFill>
                <a:srgbClr val="FF0000"/>
              </a:solidFill>
            </a:rPr>
            <a:t> con una vida estimada de 7 años.</a:t>
          </a:r>
          <a:endParaRPr lang="es-PE" b="0">
            <a:solidFill>
              <a:srgbClr val="FF0000"/>
            </a:solidFill>
          </a:endParaRPr>
        </a:p>
        <a:p>
          <a:r>
            <a:rPr lang="es-PE" b="0">
              <a:solidFill>
                <a:srgbClr val="FF0000"/>
              </a:solidFill>
            </a:rPr>
            <a:t>Una opción de reemplazo sería adquirir una selladora digital de alta eficiencia a un precio de S/ 75,000, con costos operativos iniciales de S/ 2,800, creciendo en S/ 1,600 anuales. La vida útil es de 10 años, y su valor de reventa esperado es de S/ 50,000 al término del primer año, decreciendo un 15% anual.</a:t>
          </a:r>
        </a:p>
        <a:p>
          <a:r>
            <a:rPr lang="es-PE" b="0"/>
            <a:t>La tasa mínima aceptable de retorno para este proyecto es del 17%.</a:t>
          </a:r>
        </a:p>
        <a:p>
          <a:r>
            <a:rPr lang="es-PE" b="0"/>
            <a:t>Se solicita:</a:t>
          </a:r>
        </a:p>
        <a:p>
          <a:r>
            <a:rPr lang="es-PE" b="0"/>
            <a:t>Determinar la vida económica del defensor (selladora actual) (3.5 puntos)</a:t>
          </a:r>
        </a:p>
        <a:p>
          <a:r>
            <a:rPr lang="es-PE" b="0"/>
            <a:t>Determinar la vida económica del retador (selladora digital) (3.5 puntos)</a:t>
          </a:r>
        </a:p>
        <a:p>
          <a:r>
            <a:rPr lang="es-PE" b="0"/>
            <a:t>Indicar cuándo debe reemplazarse el equipo considerando el costo de oportunidad (1.5 puntos)</a:t>
          </a:r>
        </a:p>
        <a:p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371477</xdr:colOff>
      <xdr:row>0</xdr:row>
      <xdr:rowOff>95251</xdr:rowOff>
    </xdr:from>
    <xdr:to>
      <xdr:col>7</xdr:col>
      <xdr:colOff>381000</xdr:colOff>
      <xdr:row>27</xdr:row>
      <xdr:rowOff>38101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A5ACDA3-5BC3-46F7-AE3D-CC19B8EFB32F}"/>
            </a:ext>
          </a:extLst>
        </xdr:cNvPr>
        <xdr:cNvSpPr txBox="1"/>
      </xdr:nvSpPr>
      <xdr:spPr>
        <a:xfrm>
          <a:off x="371477" y="95251"/>
          <a:ext cx="9397363" cy="4880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Flujo del Inversionista</a:t>
          </a:r>
          <a:r>
            <a:rPr lang="es-PE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(12 puntos)</a:t>
          </a:r>
          <a:endParaRPr lang="es-PE" b="1">
            <a:solidFill>
              <a:sysClr val="windowText" lastClr="000000"/>
            </a:solidFill>
            <a:effectLst/>
          </a:endParaRPr>
        </a:p>
        <a:p>
          <a:r>
            <a:rPr lang="es-PE" b="0">
              <a:solidFill>
                <a:sysClr val="windowText" lastClr="000000"/>
              </a:solidFill>
            </a:rPr>
            <a:t>La empresa de alimentos "GranjaViva S.A.C." planea instalar una nueva línea de procesamiento para producir productos vegetales deshidratados (chips de vegetales como yuca, zanahoria y kale), orientados a consumidores saludables. El objetivo es analizar si el proyecto de 9 años de vida útil es rentable y conveniente para invertir.</a:t>
          </a:r>
        </a:p>
        <a:p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Para la inversión se destinarán S/ 8'000,000 en terrenos,S / 21'000,000.00 maquinaria de línea y S/ 2'000,000 en capital de trabajo,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el capital de trabajo se </a:t>
          </a:r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recupera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 final del año 9. Los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terrenos no se deprecian y se considera que crece su valor de mercado en 10% anualmente. La maquinaria se deprecia en línea recta, considerando un 15% de rescate contable y se espera poder venderla a  S/3´200,000.00</a:t>
          </a:r>
          <a:endParaRPr lang="es-PE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s-PE" b="0">
              <a:solidFill>
                <a:srgbClr val="FF0000"/>
              </a:solidFill>
            </a:rPr>
            <a:t>En estudios de mercado se identificó un nicho equivalente al 4% de la demanda total del sector snacks saludables, estimándose que esta demanda crecerá al ritmo de la población del 6% anual. Para el primer año se proyecta una demanda de 800,000.00 kilos </a:t>
          </a:r>
          <a:r>
            <a:rPr lang="es-PE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 planta tiene una capacidad máxima de 1'200,000 kilos</a:t>
          </a:r>
          <a:r>
            <a:rPr lang="es-PE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al año (no se financiarán expansiones). </a:t>
          </a:r>
          <a:endParaRPr lang="es-PE" b="0">
            <a:solidFill>
              <a:srgbClr val="FF0000"/>
            </a:solidFill>
          </a:endParaRPr>
        </a:p>
        <a:p>
          <a:r>
            <a:rPr lang="es-PE" b="0">
              <a:solidFill>
                <a:srgbClr val="FF0000"/>
              </a:solidFill>
            </a:rPr>
            <a:t>El precio de venta por kilo es S/14.50 con incremento del 4% cada dos años.</a:t>
          </a:r>
        </a:p>
        <a:p>
          <a:r>
            <a:rPr lang="es-PE" b="0">
              <a:solidFill>
                <a:srgbClr val="FF0000"/>
              </a:solidFill>
            </a:rPr>
            <a:t>El costo de materia</a:t>
          </a:r>
          <a:r>
            <a:rPr lang="es-PE" b="0" baseline="0">
              <a:solidFill>
                <a:srgbClr val="FF0000"/>
              </a:solidFill>
            </a:rPr>
            <a:t> prima es de S/2.10  el cuál crecerá en 3.5% anualmente y se necesita 1.35 kilos de materia prima para podrucir 1 kg de producto terminado. El costo de mano de obra es de S/2.5 por kilo de producto terminado y este costo crece en 2.5% cada 2 años. </a:t>
          </a:r>
          <a:r>
            <a:rPr lang="es-PE" b="0">
              <a:solidFill>
                <a:srgbClr val="FF0000"/>
              </a:solidFill>
            </a:rPr>
            <a:t>Los costos fijos de producción son S/ 2'500,000 al inicio, aumentando un 2.5% anual.</a:t>
          </a:r>
          <a:r>
            <a:rPr lang="es-PE" b="0" baseline="0">
              <a:solidFill>
                <a:srgbClr val="FF0000"/>
              </a:solidFill>
            </a:rPr>
            <a:t> </a:t>
          </a:r>
          <a:r>
            <a:rPr lang="es-PE" b="0">
              <a:solidFill>
                <a:srgbClr val="FF0000"/>
              </a:solidFill>
            </a:rPr>
            <a:t>Además, los gastos operacionales se estiman en S/ 1'200,000 iniciales, creciendo en S/ 60,000 cada dos años.</a:t>
          </a:r>
        </a:p>
        <a:p>
          <a:r>
            <a:rPr lang="es-PE" b="0">
              <a:solidFill>
                <a:srgbClr val="FF0000"/>
              </a:solidFill>
            </a:rPr>
            <a:t>El financiamiento será con 40% capital propio y 60% deuda comercial con TEA de 8.5%, cuotas anuales crecientes en 5%, y con tres</a:t>
          </a:r>
          <a:r>
            <a:rPr lang="es-PE" b="0" baseline="0">
              <a:solidFill>
                <a:srgbClr val="FF0000"/>
              </a:solidFill>
            </a:rPr>
            <a:t> perídos de gracia.</a:t>
          </a:r>
          <a:endParaRPr lang="es-PE" b="0">
            <a:solidFill>
              <a:srgbClr val="FF0000"/>
            </a:solidFill>
          </a:endParaRPr>
        </a:p>
        <a:p>
          <a:r>
            <a:rPr lang="es-PE" b="0">
              <a:solidFill>
                <a:sysClr val="windowText" lastClr="000000"/>
              </a:solidFill>
            </a:rPr>
            <a:t>El costo de capital propio se calcula mediante CAPM con los siguientes datos:</a:t>
          </a:r>
        </a:p>
        <a:p>
          <a:r>
            <a:rPr lang="es-PE" b="0">
              <a:solidFill>
                <a:sysClr val="windowText" lastClr="000000"/>
              </a:solidFill>
            </a:rPr>
            <a:t>Tasa libre de riesgo: promedio de bonos del Tesoro estadounidense → 2.5%  Prima de riesgo del mercado: según Damodaran actualizado para Perú → 6.4%  Riesgo país: EMBIG Perú promedio 3.6 </a:t>
          </a:r>
        </a:p>
        <a:p>
          <a:r>
            <a:rPr lang="es-PE" b="0">
              <a:solidFill>
                <a:sysClr val="windowText" lastClr="000000"/>
              </a:solidFill>
            </a:rPr>
            <a:t>Beta de la industria de alimentos saludables: 1.05 Relación deuda/capital industria: 1.9 Relación deuda/capital de la empresa: estimada en 1.5 Tasa de impuesto a la renta: 29.5%</a:t>
          </a:r>
        </a:p>
        <a:p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 base en esta información, se solicita lo siguiente:</a:t>
          </a:r>
          <a:endParaRPr lang="es-PE" b="0">
            <a:solidFill>
              <a:sysClr val="windowText" lastClr="000000"/>
            </a:solidFill>
            <a:effectLst/>
          </a:endParaRPr>
        </a:p>
        <a:p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a. Construir la tabla de depreciación (1.0pts) y calcular el flujo de caja terminal (1.5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pt)</a:t>
          </a:r>
          <a:b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b. Calcular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la proyección de ingresos por ventas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(1.0) y egresos (1.0pt)</a:t>
          </a:r>
          <a:b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d. Elaborar la tabla de amortización del crédito, incluyendo el escudo fiscal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(1.5pts)</a:t>
          </a:r>
          <a:b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e. Calcular el costo de capital propio (ku 1pt), el costo efectivo de la deuda (ki0.5pt) y el WACC(0.5pt).</a:t>
          </a:r>
          <a:b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f. Construir el flujo de caja económico y calcular su VAN y TIR.</a:t>
          </a:r>
          <a:r>
            <a:rPr lang="es-PE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 interpretar los resultados </a:t>
          </a:r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(2pts)</a:t>
          </a:r>
          <a:b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s-P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g. Construir el flujo de caja financiero y calcular su VAN, TIR e interprete los resultados (2pts)</a:t>
          </a:r>
          <a:endParaRPr lang="es-PE" b="0">
            <a:solidFill>
              <a:sysClr val="windowText" lastClr="000000"/>
            </a:solidFill>
            <a:effectLst/>
          </a:endParaRPr>
        </a:p>
        <a:p>
          <a:endParaRPr lang="es-PE" sz="1100"/>
        </a:p>
      </xdr:txBody>
    </xdr:sp>
    <xdr:clientData/>
  </xdr:twoCellAnchor>
  <xdr:oneCellAnchor>
    <xdr:from>
      <xdr:col>0</xdr:col>
      <xdr:colOff>0</xdr:colOff>
      <xdr:row>97</xdr:row>
      <xdr:rowOff>0</xdr:rowOff>
    </xdr:from>
    <xdr:ext cx="4695825" cy="952500"/>
    <xdr:pic>
      <xdr:nvPicPr>
        <xdr:cNvPr id="5" name="image18.jpg" descr="Unlevered Beta (Definition, Formula) | Calculate Unlevered Beta">
          <a:extLst>
            <a:ext uri="{FF2B5EF4-FFF2-40B4-BE49-F238E27FC236}">
              <a16:creationId xmlns:a16="http://schemas.microsoft.com/office/drawing/2014/main" id="{EBEDF9A7-055A-49AF-B905-9D80D8B6C2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7929860"/>
          <a:ext cx="4695825" cy="952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4206-CA79-4E1A-8C49-34AB69873695}">
  <dimension ref="B17:T31"/>
  <sheetViews>
    <sheetView workbookViewId="0">
      <selection activeCell="K26" sqref="K26"/>
    </sheetView>
  </sheetViews>
  <sheetFormatPr baseColWidth="10" defaultRowHeight="15" x14ac:dyDescent="0.25"/>
  <cols>
    <col min="6" max="9" width="12.140625" bestFit="1" customWidth="1"/>
    <col min="17" max="17" width="14.28515625" customWidth="1"/>
    <col min="20" max="20" width="15" customWidth="1"/>
  </cols>
  <sheetData>
    <row r="17" spans="2:20" x14ac:dyDescent="0.25">
      <c r="C17" t="s">
        <v>63</v>
      </c>
      <c r="D17" s="2">
        <v>0.17</v>
      </c>
    </row>
    <row r="20" spans="2:20" x14ac:dyDescent="0.25">
      <c r="C20" t="s">
        <v>64</v>
      </c>
      <c r="D20" t="s">
        <v>61</v>
      </c>
      <c r="E20" t="s">
        <v>62</v>
      </c>
      <c r="N20" t="s">
        <v>65</v>
      </c>
      <c r="O20" t="s">
        <v>61</v>
      </c>
      <c r="P20" t="s">
        <v>62</v>
      </c>
    </row>
    <row r="21" spans="2:20" x14ac:dyDescent="0.25">
      <c r="B21" s="4">
        <v>0</v>
      </c>
      <c r="C21" s="4">
        <v>31000</v>
      </c>
      <c r="D21" s="4"/>
      <c r="E21" s="4">
        <v>22000</v>
      </c>
      <c r="F21" s="4"/>
      <c r="G21" s="4"/>
      <c r="H21" s="4"/>
      <c r="I21" s="4"/>
      <c r="M21">
        <v>0</v>
      </c>
      <c r="N21">
        <v>75000</v>
      </c>
    </row>
    <row r="22" spans="2:20" x14ac:dyDescent="0.25">
      <c r="B22" s="4">
        <v>1</v>
      </c>
      <c r="C22" s="4"/>
      <c r="D22" s="4">
        <v>-13000</v>
      </c>
      <c r="E22" s="4">
        <f>E21-20%*E21</f>
        <v>17600</v>
      </c>
      <c r="F22" s="84">
        <f>PMT($D$17,B22,$C$21)</f>
        <v>-36270</v>
      </c>
      <c r="G22" s="84">
        <f>PMT($D$17,B22,-NPV($D$17,D22))</f>
        <v>-13000</v>
      </c>
      <c r="H22" s="84">
        <f>PMT($D$17,B22,,-E22)</f>
        <v>17600</v>
      </c>
      <c r="I22" s="84">
        <f>SUM(F22:H22)</f>
        <v>-31670</v>
      </c>
      <c r="M22" s="4">
        <v>1</v>
      </c>
      <c r="N22" s="4"/>
      <c r="O22" s="4">
        <v>-2800</v>
      </c>
      <c r="P22" s="4">
        <v>50000</v>
      </c>
      <c r="Q22" s="84">
        <f>PMT($D$17,M22,$N$21)</f>
        <v>-87750</v>
      </c>
      <c r="R22" s="84">
        <f>PMT($D$17,M22,-NPV($D$17,O22))</f>
        <v>-2800.0000000000005</v>
      </c>
      <c r="S22" s="84">
        <f>PMT($D$17,M22,,-P22)</f>
        <v>50000</v>
      </c>
      <c r="T22" s="84">
        <f>SUM(Q22:S22)</f>
        <v>-40550</v>
      </c>
    </row>
    <row r="23" spans="2:20" x14ac:dyDescent="0.25">
      <c r="B23" s="4">
        <v>2</v>
      </c>
      <c r="C23" s="4"/>
      <c r="D23" s="4">
        <f>D22-1800</f>
        <v>-14800</v>
      </c>
      <c r="E23" s="4">
        <f t="shared" ref="E23:E28" si="0">E22-20%*E22</f>
        <v>14080</v>
      </c>
      <c r="F23" s="84">
        <f t="shared" ref="F23:F28" si="1">PMT($D$17,B23,$C$21)</f>
        <v>-19555.714285714286</v>
      </c>
      <c r="G23" s="84">
        <f>PMT($D$17,B23,-NPV($D$17,D22:D23))</f>
        <v>-13829.493087557603</v>
      </c>
      <c r="H23" s="84">
        <f t="shared" ref="H23:H28" si="2">PMT($D$17,B23,,-E23)</f>
        <v>6488.4792626728104</v>
      </c>
      <c r="I23" s="84">
        <f t="shared" ref="I23:I28" si="3">SUM(F23:H23)</f>
        <v>-26896.728110599077</v>
      </c>
      <c r="M23" s="4">
        <v>2</v>
      </c>
      <c r="N23" s="4"/>
      <c r="O23" s="4">
        <f>O22-1600</f>
        <v>-4400</v>
      </c>
      <c r="P23" s="4">
        <f>P22-15%*P22</f>
        <v>42500</v>
      </c>
      <c r="Q23" s="84">
        <f t="shared" ref="Q23:Q31" si="4">PMT($D$17,M23,$N$21)</f>
        <v>-47312.211981566819</v>
      </c>
      <c r="R23" s="84">
        <f>PMT($D$17,M23,-NPV($D$17,O22:O23))</f>
        <v>-3537.3271889400921</v>
      </c>
      <c r="S23" s="84">
        <f>PMT($D$17,M23,,-P23)</f>
        <v>19585.253456221195</v>
      </c>
      <c r="T23" s="84">
        <f t="shared" ref="T23:T31" si="5">SUM(Q23:S23)</f>
        <v>-31264.285714285717</v>
      </c>
    </row>
    <row r="24" spans="2:20" x14ac:dyDescent="0.25">
      <c r="B24" s="4">
        <v>3</v>
      </c>
      <c r="C24" s="4"/>
      <c r="D24" s="4">
        <f t="shared" ref="D24:D28" si="6">D23-1800</f>
        <v>-16600</v>
      </c>
      <c r="E24" s="4">
        <f t="shared" si="0"/>
        <v>11264</v>
      </c>
      <c r="F24" s="84">
        <f>PMT($D$17,B24,$C$21)</f>
        <v>-14029.78411370765</v>
      </c>
      <c r="G24" s="84">
        <f>PMT($D$17,B24,-NPV($D$17,D22:D24))</f>
        <v>-14612.365424284382</v>
      </c>
      <c r="H24" s="84">
        <f t="shared" si="2"/>
        <v>3182.9099437678374</v>
      </c>
      <c r="I24" s="84">
        <f t="shared" si="3"/>
        <v>-25459.239594224193</v>
      </c>
      <c r="M24" s="4">
        <v>3</v>
      </c>
      <c r="N24" s="4"/>
      <c r="O24" s="4">
        <f>O23-1600</f>
        <v>-6000</v>
      </c>
      <c r="P24" s="4">
        <f t="shared" ref="P24:P31" si="7">P23-15%*P23</f>
        <v>36125</v>
      </c>
      <c r="Q24" s="84">
        <f t="shared" si="4"/>
        <v>-33943.026081550765</v>
      </c>
      <c r="R24" s="84">
        <f>PMT($D$17,M24,-NPV($D$17,O22:O24))</f>
        <v>-4233.2137104750072</v>
      </c>
      <c r="S24" s="84">
        <f>PMT($D$17,M24,,-P24)</f>
        <v>10207.974229280286</v>
      </c>
      <c r="T24" s="84">
        <f t="shared" si="5"/>
        <v>-27968.265562745488</v>
      </c>
    </row>
    <row r="25" spans="2:20" x14ac:dyDescent="0.25">
      <c r="B25" s="4">
        <v>4</v>
      </c>
      <c r="C25" s="4"/>
      <c r="D25" s="4">
        <f t="shared" si="6"/>
        <v>-18400</v>
      </c>
      <c r="E25" s="4">
        <f t="shared" si="0"/>
        <v>9011.2000000000007</v>
      </c>
      <c r="F25" s="84">
        <f>PMT($D$17,B25,$C$21)</f>
        <v>-11300.526525270921</v>
      </c>
      <c r="G25" s="84">
        <f>PMT($D$17,B25,-NPV($D$17,D22:D25))</f>
        <v>-15349.185771925879</v>
      </c>
      <c r="H25" s="84">
        <f t="shared" si="2"/>
        <v>1752.9767943393977</v>
      </c>
      <c r="I25" s="84">
        <f t="shared" si="3"/>
        <v>-24896.735502857402</v>
      </c>
      <c r="M25" s="4">
        <v>4</v>
      </c>
      <c r="N25" s="4"/>
      <c r="O25" s="4">
        <f t="shared" ref="O24:O28" si="8">O24-1600</f>
        <v>-7600</v>
      </c>
      <c r="P25" s="4">
        <f t="shared" si="7"/>
        <v>30706.25</v>
      </c>
      <c r="Q25" s="84">
        <f t="shared" si="4"/>
        <v>-27339.983528881261</v>
      </c>
      <c r="R25" s="84">
        <f>PMT($D$17,M25,-NPV($D$17,O22:O25))</f>
        <v>-4888.1651306007798</v>
      </c>
      <c r="S25" s="84">
        <f>PMT($D$17,M25,,-P25)</f>
        <v>5973.3824231161361</v>
      </c>
      <c r="T25" s="84">
        <f t="shared" si="5"/>
        <v>-26254.766236365904</v>
      </c>
    </row>
    <row r="26" spans="2:20" x14ac:dyDescent="0.25">
      <c r="B26" s="4">
        <v>5</v>
      </c>
      <c r="C26" s="4"/>
      <c r="D26" s="4">
        <f t="shared" si="6"/>
        <v>-20200</v>
      </c>
      <c r="E26" s="4">
        <f t="shared" si="0"/>
        <v>7208.9600000000009</v>
      </c>
      <c r="F26" s="84">
        <f>PMT($D$17,B26,$C$21)</f>
        <v>-9689.4797946950894</v>
      </c>
      <c r="G26" s="84">
        <f>PMT($D$17,B26,-NPV($D$17,D22:D26))</f>
        <v>-16040.736593499847</v>
      </c>
      <c r="H26" s="84">
        <f t="shared" si="2"/>
        <v>1027.7371955085523</v>
      </c>
      <c r="I26" s="84">
        <f t="shared" si="3"/>
        <v>-24702.479192686387</v>
      </c>
      <c r="M26" s="4">
        <v>5</v>
      </c>
      <c r="N26" s="4"/>
      <c r="O26" s="4">
        <f t="shared" si="8"/>
        <v>-9200</v>
      </c>
      <c r="P26" s="4">
        <f t="shared" si="7"/>
        <v>26100.3125</v>
      </c>
      <c r="Q26" s="84">
        <f t="shared" si="4"/>
        <v>-23442.289825875218</v>
      </c>
      <c r="R26" s="84">
        <f>PMT($D$17,M26,-NPV($D$17,O22:O26))</f>
        <v>-5502.8769719998636</v>
      </c>
      <c r="S26" s="84">
        <f t="shared" ref="S23:S28" si="9">PMT($D$17,M26,,-P26)</f>
        <v>3720.961410612184</v>
      </c>
      <c r="T26" s="84">
        <f t="shared" si="5"/>
        <v>-25224.205387262897</v>
      </c>
    </row>
    <row r="27" spans="2:20" x14ac:dyDescent="0.25">
      <c r="B27" s="4">
        <v>6</v>
      </c>
      <c r="C27" s="4"/>
      <c r="D27" s="4">
        <f t="shared" si="6"/>
        <v>-22000</v>
      </c>
      <c r="E27" s="4">
        <f t="shared" si="0"/>
        <v>5767.1680000000006</v>
      </c>
      <c r="F27" s="84">
        <f>PMT($D$17,B27,$C$21)</f>
        <v>-8637.0588645227581</v>
      </c>
      <c r="G27" s="84">
        <f>PMT($D$17,B27,-NPV($D$17,D22:D27))</f>
        <v>-16688.000808947669</v>
      </c>
      <c r="H27" s="84">
        <f>PMT($D$17,B27,,-E27)</f>
        <v>626.39981089006415</v>
      </c>
      <c r="I27" s="84">
        <f t="shared" si="3"/>
        <v>-24698.659862580364</v>
      </c>
      <c r="M27" s="4">
        <v>6</v>
      </c>
      <c r="N27" s="4"/>
      <c r="O27" s="4">
        <f t="shared" si="8"/>
        <v>-10800</v>
      </c>
      <c r="P27" s="4">
        <f t="shared" si="7"/>
        <v>22185.265625</v>
      </c>
      <c r="Q27" s="84">
        <f t="shared" si="4"/>
        <v>-20896.110156103448</v>
      </c>
      <c r="R27" s="84">
        <f>PMT($D$17,M27,-NPV($D$17,O22:O27))</f>
        <v>-6078.2229412868164</v>
      </c>
      <c r="S27" s="84">
        <f>PMT($D$17,M27,,-P27)</f>
        <v>2409.6482349822018</v>
      </c>
      <c r="T27" s="84">
        <f t="shared" si="5"/>
        <v>-24564.684862408059</v>
      </c>
    </row>
    <row r="28" spans="2:20" x14ac:dyDescent="0.25">
      <c r="B28" s="4">
        <v>7</v>
      </c>
      <c r="C28" s="4"/>
      <c r="D28" s="4">
        <f t="shared" si="6"/>
        <v>-23800</v>
      </c>
      <c r="E28" s="4">
        <f>E27-20%*E27</f>
        <v>4613.7344000000003</v>
      </c>
      <c r="F28" s="84">
        <f t="shared" si="1"/>
        <v>-7903.36452780128</v>
      </c>
      <c r="G28" s="84">
        <f>PMT($D$17,B28,-NPV($D$17,D22:D28))</f>
        <v>-17292.145531253111</v>
      </c>
      <c r="H28" s="84">
        <f>PMT($D$17,B28,,-E28)</f>
        <v>391.92401644053302</v>
      </c>
      <c r="I28" s="84">
        <f t="shared" si="3"/>
        <v>-24803.586042613857</v>
      </c>
      <c r="M28" s="4">
        <v>7</v>
      </c>
      <c r="N28" s="4"/>
      <c r="O28" s="4">
        <f>O27-1600</f>
        <v>-12400</v>
      </c>
      <c r="P28" s="4">
        <f t="shared" si="7"/>
        <v>18857.475781249999</v>
      </c>
      <c r="Q28" s="84">
        <f t="shared" si="4"/>
        <v>-19121.043212422454</v>
      </c>
      <c r="R28" s="84">
        <f>PMT($D$17,M28,-NPV($D$17,O22:O28))</f>
        <v>-6615.2404722249839</v>
      </c>
      <c r="S28" s="84">
        <f>PMT($D$17,M28,,-P28)</f>
        <v>1601.8905743940479</v>
      </c>
      <c r="T28" s="84">
        <f t="shared" si="5"/>
        <v>-24134.39311025339</v>
      </c>
    </row>
    <row r="29" spans="2:20" x14ac:dyDescent="0.25">
      <c r="M29" s="4">
        <v>8</v>
      </c>
      <c r="N29" s="4"/>
      <c r="O29" s="4">
        <f t="shared" ref="O29:O31" si="10">O28-1600</f>
        <v>-14000</v>
      </c>
      <c r="P29" s="4">
        <f t="shared" si="7"/>
        <v>16028.8544140625</v>
      </c>
      <c r="Q29" s="84">
        <f t="shared" si="4"/>
        <v>-17826.741870075432</v>
      </c>
      <c r="R29" s="84">
        <f>PMT($D$17,M29,-NPV($D$17,O22:O29))</f>
        <v>-7115.1140441595689</v>
      </c>
      <c r="S29" s="84">
        <f t="shared" ref="S29:S31" si="11">PMT($D$17,M29,,-P29)</f>
        <v>1084.9914177761925</v>
      </c>
      <c r="T29" s="84">
        <f t="shared" si="5"/>
        <v>-23856.864496458806</v>
      </c>
    </row>
    <row r="30" spans="2:20" x14ac:dyDescent="0.25">
      <c r="M30" s="4">
        <v>9</v>
      </c>
      <c r="N30" s="4"/>
      <c r="O30" s="4">
        <f>O29-1600</f>
        <v>-15600</v>
      </c>
      <c r="P30" s="4">
        <f t="shared" si="7"/>
        <v>13624.526251953124</v>
      </c>
      <c r="Q30" s="84">
        <f t="shared" si="4"/>
        <v>-16851.788262573951</v>
      </c>
      <c r="R30" s="84">
        <f>PMT($D$17,M30,-NPV($D$17,O22:O30))</f>
        <v>-7579.1567857988357</v>
      </c>
      <c r="S30" s="84">
        <f t="shared" si="11"/>
        <v>745.13229151189284</v>
      </c>
      <c r="T30" s="84">
        <f t="shared" si="5"/>
        <v>-23685.812756860891</v>
      </c>
    </row>
    <row r="31" spans="2:20" x14ac:dyDescent="0.25">
      <c r="M31" s="4">
        <v>10</v>
      </c>
      <c r="N31" s="4"/>
      <c r="O31" s="4">
        <f t="shared" si="10"/>
        <v>-17200</v>
      </c>
      <c r="P31" s="4">
        <f t="shared" si="7"/>
        <v>11580.847314160155</v>
      </c>
      <c r="Q31" s="84">
        <f t="shared" si="4"/>
        <v>-16099.244750832961</v>
      </c>
      <c r="R31" s="84">
        <f>PMT($D$17,M31,-NPV($D$17,O22:O31))</f>
        <v>-8008.7909009155055</v>
      </c>
      <c r="S31" s="84">
        <f t="shared" si="11"/>
        <v>517.16122769531842</v>
      </c>
      <c r="T31" s="84">
        <f t="shared" si="5"/>
        <v>-23590.874424053145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6DA6-2B53-4829-9C19-BF7234A0B6C9}">
  <dimension ref="A25:L150"/>
  <sheetViews>
    <sheetView tabSelected="1" topLeftCell="A44" zoomScaleNormal="100" workbookViewId="0">
      <selection activeCell="B65" sqref="B65"/>
    </sheetView>
  </sheetViews>
  <sheetFormatPr baseColWidth="10" defaultRowHeight="15" x14ac:dyDescent="0.25"/>
  <cols>
    <col min="1" max="1" width="37.140625" customWidth="1"/>
    <col min="2" max="2" width="19.28515625" customWidth="1"/>
    <col min="3" max="7" width="18" customWidth="1"/>
    <col min="8" max="8" width="20.42578125" customWidth="1"/>
    <col min="9" max="12" width="18" customWidth="1"/>
  </cols>
  <sheetData>
    <row r="25" spans="1:3" x14ac:dyDescent="0.25">
      <c r="C25" s="1"/>
    </row>
    <row r="31" spans="1:3" x14ac:dyDescent="0.25">
      <c r="A31" t="s">
        <v>0</v>
      </c>
      <c r="B31" s="82">
        <v>8000000</v>
      </c>
    </row>
    <row r="32" spans="1:3" x14ac:dyDescent="0.25">
      <c r="B32" s="82">
        <v>21000000</v>
      </c>
    </row>
    <row r="33" spans="1:4" x14ac:dyDescent="0.25">
      <c r="B33" s="82">
        <v>2000000</v>
      </c>
    </row>
    <row r="34" spans="1:4" x14ac:dyDescent="0.25">
      <c r="B34" s="83"/>
    </row>
    <row r="35" spans="1:4" x14ac:dyDescent="0.25">
      <c r="A35" t="s">
        <v>60</v>
      </c>
      <c r="B35" s="1">
        <f>SUM(B31:B33)</f>
        <v>31000000</v>
      </c>
    </row>
    <row r="36" spans="1:4" x14ac:dyDescent="0.25">
      <c r="B36" s="1"/>
    </row>
    <row r="37" spans="1:4" x14ac:dyDescent="0.25">
      <c r="B37" s="1"/>
    </row>
    <row r="38" spans="1:4" x14ac:dyDescent="0.25">
      <c r="B38" s="1"/>
    </row>
    <row r="39" spans="1:4" x14ac:dyDescent="0.25">
      <c r="B39" s="1"/>
    </row>
    <row r="40" spans="1:4" x14ac:dyDescent="0.25">
      <c r="B40" s="1"/>
    </row>
    <row r="41" spans="1:4" x14ac:dyDescent="0.25">
      <c r="A41" t="s">
        <v>1</v>
      </c>
      <c r="B41" s="1">
        <f>B32</f>
        <v>21000000</v>
      </c>
    </row>
    <row r="42" spans="1:4" x14ac:dyDescent="0.25">
      <c r="A42" t="s">
        <v>2</v>
      </c>
      <c r="B42" s="1">
        <f>15%*B41</f>
        <v>3150000</v>
      </c>
      <c r="C42" s="2"/>
    </row>
    <row r="43" spans="1:4" x14ac:dyDescent="0.25">
      <c r="A43" t="s">
        <v>3</v>
      </c>
      <c r="B43" s="1">
        <f>(B41-B42)/9</f>
        <v>1983333.3333333333</v>
      </c>
    </row>
    <row r="44" spans="1:4" ht="15.75" thickBot="1" x14ac:dyDescent="0.3">
      <c r="B44" s="1"/>
    </row>
    <row r="45" spans="1:4" ht="26.25" thickTop="1" x14ac:dyDescent="0.25">
      <c r="A45" s="3" t="s">
        <v>4</v>
      </c>
      <c r="B45" s="3" t="s">
        <v>5</v>
      </c>
      <c r="C45" s="3" t="s">
        <v>6</v>
      </c>
      <c r="D45" s="3" t="s">
        <v>7</v>
      </c>
    </row>
    <row r="46" spans="1:4" x14ac:dyDescent="0.25">
      <c r="A46">
        <v>0</v>
      </c>
      <c r="B46" s="4"/>
      <c r="C46" s="4"/>
      <c r="D46" s="5">
        <f>B32</f>
        <v>21000000</v>
      </c>
    </row>
    <row r="47" spans="1:4" x14ac:dyDescent="0.25">
      <c r="A47">
        <v>1</v>
      </c>
      <c r="B47" s="5">
        <f>$B$43</f>
        <v>1983333.3333333333</v>
      </c>
      <c r="C47" s="5">
        <f>B47</f>
        <v>1983333.3333333333</v>
      </c>
      <c r="D47" s="5">
        <f>D46-B47</f>
        <v>19016666.666666668</v>
      </c>
    </row>
    <row r="48" spans="1:4" x14ac:dyDescent="0.25">
      <c r="A48">
        <v>2</v>
      </c>
      <c r="B48" s="5">
        <f t="shared" ref="B48:B55" si="0">$B$43</f>
        <v>1983333.3333333333</v>
      </c>
      <c r="C48" s="5">
        <f>C47+B48</f>
        <v>3966666.6666666665</v>
      </c>
      <c r="D48" s="5">
        <f t="shared" ref="D48:D55" si="1">D47-B48</f>
        <v>17033333.333333336</v>
      </c>
    </row>
    <row r="49" spans="1:4" x14ac:dyDescent="0.25">
      <c r="A49">
        <v>3</v>
      </c>
      <c r="B49" s="5">
        <f t="shared" si="0"/>
        <v>1983333.3333333333</v>
      </c>
      <c r="C49" s="5">
        <f t="shared" ref="C49:C55" si="2">C48+B49</f>
        <v>5950000</v>
      </c>
      <c r="D49" s="5">
        <f t="shared" si="1"/>
        <v>15050000.000000002</v>
      </c>
    </row>
    <row r="50" spans="1:4" x14ac:dyDescent="0.25">
      <c r="A50">
        <v>4</v>
      </c>
      <c r="B50" s="5">
        <f t="shared" si="0"/>
        <v>1983333.3333333333</v>
      </c>
      <c r="C50" s="5">
        <f t="shared" si="2"/>
        <v>7933333.333333333</v>
      </c>
      <c r="D50" s="5">
        <f t="shared" si="1"/>
        <v>13066666.666666668</v>
      </c>
    </row>
    <row r="51" spans="1:4" x14ac:dyDescent="0.25">
      <c r="A51">
        <v>5</v>
      </c>
      <c r="B51" s="5">
        <f t="shared" si="0"/>
        <v>1983333.3333333333</v>
      </c>
      <c r="C51" s="5">
        <f t="shared" si="2"/>
        <v>9916666.666666666</v>
      </c>
      <c r="D51" s="5">
        <f t="shared" si="1"/>
        <v>11083333.333333334</v>
      </c>
    </row>
    <row r="52" spans="1:4" x14ac:dyDescent="0.25">
      <c r="A52">
        <v>6</v>
      </c>
      <c r="B52" s="5">
        <f t="shared" si="0"/>
        <v>1983333.3333333333</v>
      </c>
      <c r="C52" s="5">
        <f t="shared" si="2"/>
        <v>11900000</v>
      </c>
      <c r="D52" s="5">
        <f t="shared" si="1"/>
        <v>9100000</v>
      </c>
    </row>
    <row r="53" spans="1:4" x14ac:dyDescent="0.25">
      <c r="A53">
        <v>7</v>
      </c>
      <c r="B53" s="5">
        <f t="shared" si="0"/>
        <v>1983333.3333333333</v>
      </c>
      <c r="C53" s="5">
        <f t="shared" si="2"/>
        <v>13883333.333333334</v>
      </c>
      <c r="D53" s="5">
        <f t="shared" si="1"/>
        <v>7116666.666666667</v>
      </c>
    </row>
    <row r="54" spans="1:4" x14ac:dyDescent="0.25">
      <c r="A54">
        <v>8</v>
      </c>
      <c r="B54" s="5">
        <f t="shared" si="0"/>
        <v>1983333.3333333333</v>
      </c>
      <c r="C54" s="5">
        <f t="shared" si="2"/>
        <v>15866666.666666668</v>
      </c>
      <c r="D54" s="5">
        <f t="shared" si="1"/>
        <v>5133333.333333334</v>
      </c>
    </row>
    <row r="55" spans="1:4" x14ac:dyDescent="0.25">
      <c r="A55">
        <v>9</v>
      </c>
      <c r="B55" s="5">
        <f t="shared" si="0"/>
        <v>1983333.3333333333</v>
      </c>
      <c r="C55" s="5">
        <f t="shared" si="2"/>
        <v>17850000</v>
      </c>
      <c r="D55" s="5">
        <f t="shared" si="1"/>
        <v>3150000.0000000009</v>
      </c>
    </row>
    <row r="56" spans="1:4" x14ac:dyDescent="0.25">
      <c r="B56" s="1"/>
    </row>
    <row r="57" spans="1:4" x14ac:dyDescent="0.25">
      <c r="A57" t="s">
        <v>8</v>
      </c>
      <c r="B57" s="1"/>
      <c r="C57" s="6"/>
    </row>
    <row r="58" spans="1:4" x14ac:dyDescent="0.25">
      <c r="C58" s="7"/>
    </row>
    <row r="59" spans="1:4" x14ac:dyDescent="0.25">
      <c r="A59" s="73" t="s">
        <v>9</v>
      </c>
      <c r="B59" s="74"/>
      <c r="C59" s="6"/>
    </row>
    <row r="60" spans="1:4" x14ac:dyDescent="0.25">
      <c r="A60" s="8" t="s">
        <v>10</v>
      </c>
      <c r="B60" s="9">
        <f>B57</f>
        <v>0</v>
      </c>
    </row>
    <row r="61" spans="1:4" x14ac:dyDescent="0.25">
      <c r="A61" s="8" t="s">
        <v>11</v>
      </c>
      <c r="B61" s="9">
        <f>D55</f>
        <v>3150000.0000000009</v>
      </c>
      <c r="C61" s="13" t="s">
        <v>67</v>
      </c>
    </row>
    <row r="62" spans="1:4" x14ac:dyDescent="0.25">
      <c r="A62" s="8" t="s">
        <v>12</v>
      </c>
      <c r="B62" s="9"/>
      <c r="C62" s="13" t="s">
        <v>68</v>
      </c>
    </row>
    <row r="63" spans="1:4" x14ac:dyDescent="0.25">
      <c r="A63" s="8" t="s">
        <v>13</v>
      </c>
      <c r="B63" s="9"/>
      <c r="C63" s="13" t="s">
        <v>69</v>
      </c>
    </row>
    <row r="64" spans="1:4" x14ac:dyDescent="0.25">
      <c r="A64" s="8"/>
      <c r="B64" s="4"/>
    </row>
    <row r="65" spans="1:12" x14ac:dyDescent="0.25">
      <c r="A65" s="8" t="s">
        <v>14</v>
      </c>
      <c r="B65" s="9"/>
    </row>
    <row r="66" spans="1:12" x14ac:dyDescent="0.25">
      <c r="A66" s="8" t="s">
        <v>15</v>
      </c>
      <c r="B66" s="9"/>
    </row>
    <row r="67" spans="1:12" x14ac:dyDescent="0.25">
      <c r="A67" s="8" t="s">
        <v>16</v>
      </c>
      <c r="B67" s="9"/>
    </row>
    <row r="68" spans="1:12" x14ac:dyDescent="0.25">
      <c r="A68" s="10" t="s">
        <v>17</v>
      </c>
      <c r="B68" s="11"/>
    </row>
    <row r="69" spans="1:12" ht="15.75" thickBot="1" x14ac:dyDescent="0.3"/>
    <row r="70" spans="1:12" x14ac:dyDescent="0.25">
      <c r="A70" s="75" t="s">
        <v>18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</row>
    <row r="71" spans="1:12" x14ac:dyDescent="0.25">
      <c r="B71">
        <v>0</v>
      </c>
      <c r="C71" s="12">
        <v>1</v>
      </c>
      <c r="D71" s="12">
        <v>2</v>
      </c>
      <c r="E71" s="12">
        <v>3</v>
      </c>
      <c r="F71" s="12">
        <v>4</v>
      </c>
      <c r="G71" s="12">
        <v>5</v>
      </c>
      <c r="H71" s="12">
        <v>6</v>
      </c>
      <c r="I71" s="12">
        <v>7</v>
      </c>
      <c r="J71" s="12">
        <v>8</v>
      </c>
      <c r="K71" s="12">
        <v>9</v>
      </c>
      <c r="L71" s="12"/>
    </row>
    <row r="72" spans="1:12" x14ac:dyDescent="0.25">
      <c r="A72" t="s">
        <v>70</v>
      </c>
      <c r="C72" s="1">
        <v>14.5</v>
      </c>
      <c r="D72" s="1">
        <f>C72</f>
        <v>14.5</v>
      </c>
      <c r="E72" s="1">
        <f>C72+4%*C72</f>
        <v>15.08</v>
      </c>
      <c r="F72" s="1">
        <f t="shared" ref="F72:K72" si="3">D72+4%*D72</f>
        <v>15.08</v>
      </c>
      <c r="G72" s="1">
        <f>E72+4%*E72</f>
        <v>15.683199999999999</v>
      </c>
      <c r="H72" s="1">
        <f t="shared" si="3"/>
        <v>15.683199999999999</v>
      </c>
      <c r="I72" s="1">
        <f t="shared" si="3"/>
        <v>16.310527999999998</v>
      </c>
      <c r="J72" s="1">
        <f t="shared" si="3"/>
        <v>16.310527999999998</v>
      </c>
      <c r="K72" s="1">
        <f t="shared" si="3"/>
        <v>16.962949119999998</v>
      </c>
    </row>
    <row r="73" spans="1:12" x14ac:dyDescent="0.25">
      <c r="A73" t="s">
        <v>71</v>
      </c>
      <c r="C73" s="1">
        <f>800000</f>
        <v>800000</v>
      </c>
      <c r="D73" s="1">
        <f>C73+6%*C73</f>
        <v>848000</v>
      </c>
      <c r="E73" s="1">
        <f>D73+6%*D73</f>
        <v>898880</v>
      </c>
      <c r="F73" s="1">
        <f>E73+6%*E73</f>
        <v>952812.8</v>
      </c>
      <c r="G73" s="1">
        <f t="shared" ref="E73:K73" si="4">F73+6%*F73</f>
        <v>1009981.5680000001</v>
      </c>
      <c r="H73" s="1">
        <f t="shared" si="4"/>
        <v>1070580.4620800002</v>
      </c>
      <c r="I73" s="1">
        <f t="shared" si="4"/>
        <v>1134815.2898048002</v>
      </c>
      <c r="J73" s="1">
        <v>1200000</v>
      </c>
      <c r="K73" s="1">
        <v>1200000</v>
      </c>
    </row>
    <row r="74" spans="1:12" ht="15.75" thickBot="1" x14ac:dyDescent="0.3">
      <c r="C74" s="85">
        <f>C73*C72</f>
        <v>11600000</v>
      </c>
      <c r="D74" s="85">
        <f t="shared" ref="D74:K74" si="5">D73*D72</f>
        <v>12296000</v>
      </c>
      <c r="E74" s="85">
        <f t="shared" si="5"/>
        <v>13555110.4</v>
      </c>
      <c r="F74" s="85">
        <f t="shared" si="5"/>
        <v>14368417.024</v>
      </c>
      <c r="G74" s="85">
        <f t="shared" si="5"/>
        <v>15839742.927257601</v>
      </c>
      <c r="H74" s="85">
        <f t="shared" si="5"/>
        <v>16790127.502893057</v>
      </c>
      <c r="I74" s="85">
        <f t="shared" si="5"/>
        <v>18509436.559189305</v>
      </c>
      <c r="J74" s="85">
        <f t="shared" si="5"/>
        <v>19572633.599999998</v>
      </c>
      <c r="K74" s="85">
        <f t="shared" si="5"/>
        <v>20355538.943999998</v>
      </c>
    </row>
    <row r="75" spans="1:12" x14ac:dyDescent="0.25">
      <c r="A75" s="75" t="s">
        <v>19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</row>
    <row r="76" spans="1:12" x14ac:dyDescent="0.25">
      <c r="B76">
        <v>0</v>
      </c>
      <c r="C76" s="1">
        <v>1</v>
      </c>
      <c r="D76" s="1">
        <v>2</v>
      </c>
      <c r="E76" s="1">
        <v>3</v>
      </c>
      <c r="F76" s="1">
        <v>4</v>
      </c>
      <c r="G76" s="1">
        <v>5</v>
      </c>
      <c r="H76" s="1">
        <v>6</v>
      </c>
      <c r="I76" s="1">
        <v>7</v>
      </c>
      <c r="J76" s="1">
        <v>8</v>
      </c>
      <c r="K76" s="1">
        <v>9</v>
      </c>
    </row>
    <row r="77" spans="1:12" x14ac:dyDescent="0.25">
      <c r="A77" t="s">
        <v>72</v>
      </c>
      <c r="C77" s="1">
        <f>2.1*1.35*C73</f>
        <v>2268000.0000000005</v>
      </c>
      <c r="D77" s="1">
        <f t="shared" ref="D77:K77" si="6">2.1*1.35*D73</f>
        <v>2404080.0000000005</v>
      </c>
      <c r="E77" s="1">
        <f t="shared" si="6"/>
        <v>2548324.8000000003</v>
      </c>
      <c r="F77" s="1">
        <f>2.1*1.35*F73</f>
        <v>2701224.2880000006</v>
      </c>
      <c r="G77" s="1">
        <f t="shared" si="6"/>
        <v>2863297.7452800008</v>
      </c>
      <c r="H77" s="1">
        <f t="shared" si="6"/>
        <v>3035095.6099968008</v>
      </c>
      <c r="I77" s="1">
        <f t="shared" si="6"/>
        <v>3217201.3465966089</v>
      </c>
      <c r="J77" s="1">
        <f t="shared" si="6"/>
        <v>3402000.0000000005</v>
      </c>
      <c r="K77" s="1">
        <f t="shared" si="6"/>
        <v>3402000.0000000005</v>
      </c>
    </row>
    <row r="78" spans="1:12" x14ac:dyDescent="0.25">
      <c r="A78" t="s">
        <v>73</v>
      </c>
      <c r="C78" s="1">
        <v>2.5</v>
      </c>
      <c r="D78" s="1">
        <f>C78</f>
        <v>2.5</v>
      </c>
      <c r="E78" s="1">
        <f>C78+2.5%*C78</f>
        <v>2.5625</v>
      </c>
      <c r="F78" s="1">
        <f t="shared" ref="F78:K78" si="7">D78+2.5%*D78</f>
        <v>2.5625</v>
      </c>
      <c r="G78" s="1">
        <f t="shared" si="7"/>
        <v>2.6265624999999999</v>
      </c>
      <c r="H78" s="1">
        <f t="shared" si="7"/>
        <v>2.6265624999999999</v>
      </c>
      <c r="I78" s="1">
        <f t="shared" si="7"/>
        <v>2.6922265624999997</v>
      </c>
      <c r="J78" s="1">
        <f t="shared" si="7"/>
        <v>2.6922265624999997</v>
      </c>
      <c r="K78" s="1">
        <f>I78+2.5%*I78</f>
        <v>2.7595322265624995</v>
      </c>
    </row>
    <row r="79" spans="1:12" ht="15.75" thickBot="1" x14ac:dyDescent="0.3">
      <c r="A79" t="s">
        <v>88</v>
      </c>
      <c r="C79">
        <f>C78*C73</f>
        <v>2000000</v>
      </c>
      <c r="D79">
        <f>D78*D73</f>
        <v>2120000</v>
      </c>
      <c r="E79">
        <f>E78*E73</f>
        <v>2303380</v>
      </c>
      <c r="F79">
        <f t="shared" ref="D79:K79" si="8">F78*F73</f>
        <v>2441582.8000000003</v>
      </c>
      <c r="G79">
        <f t="shared" si="8"/>
        <v>2652779.7122</v>
      </c>
      <c r="H79">
        <f t="shared" si="8"/>
        <v>2811946.4949320005</v>
      </c>
      <c r="I79">
        <f t="shared" si="8"/>
        <v>3055179.8667436182</v>
      </c>
      <c r="J79">
        <f t="shared" si="8"/>
        <v>3230671.8749999995</v>
      </c>
      <c r="K79">
        <f t="shared" si="8"/>
        <v>3311438.6718749995</v>
      </c>
    </row>
    <row r="80" spans="1:12" x14ac:dyDescent="0.25">
      <c r="A80" s="86" t="s">
        <v>74</v>
      </c>
      <c r="B80" s="87"/>
      <c r="C80" s="88">
        <v>2500000</v>
      </c>
      <c r="D80" s="88">
        <f>C80+2.5%*C80</f>
        <v>2562500</v>
      </c>
      <c r="E80" s="88">
        <f t="shared" ref="E80:K80" si="9">D80+2.5%*D80</f>
        <v>2626562.5</v>
      </c>
      <c r="F80" s="88">
        <f t="shared" si="9"/>
        <v>2692226.5625</v>
      </c>
      <c r="G80" s="88">
        <f t="shared" si="9"/>
        <v>2759532.2265625</v>
      </c>
      <c r="H80" s="88">
        <f t="shared" si="9"/>
        <v>2828520.5322265625</v>
      </c>
      <c r="I80" s="88">
        <f t="shared" si="9"/>
        <v>2899233.5455322266</v>
      </c>
      <c r="J80" s="88">
        <f t="shared" si="9"/>
        <v>2971714.3841705322</v>
      </c>
      <c r="K80" s="88">
        <f t="shared" si="9"/>
        <v>3046007.2437747954</v>
      </c>
    </row>
    <row r="81" spans="1:11" x14ac:dyDescent="0.25">
      <c r="A81" t="s">
        <v>75</v>
      </c>
      <c r="C81" s="82">
        <v>1200000</v>
      </c>
      <c r="D81" s="82">
        <f>C81</f>
        <v>1200000</v>
      </c>
      <c r="E81" s="82">
        <f>C81+60000</f>
        <v>1260000</v>
      </c>
      <c r="F81" s="82">
        <f t="shared" ref="F81:K81" si="10">D81+60000</f>
        <v>1260000</v>
      </c>
      <c r="G81" s="82">
        <f>E81+60000</f>
        <v>1320000</v>
      </c>
      <c r="H81" s="82">
        <f t="shared" si="10"/>
        <v>1320000</v>
      </c>
      <c r="I81" s="82">
        <f>G81+60000</f>
        <v>1380000</v>
      </c>
      <c r="J81" s="82">
        <f t="shared" si="10"/>
        <v>1380000</v>
      </c>
      <c r="K81" s="82">
        <f>I81+60000</f>
        <v>1440000</v>
      </c>
    </row>
    <row r="83" spans="1:11" x14ac:dyDescent="0.25">
      <c r="A83" s="13"/>
      <c r="H83" s="13" t="s">
        <v>76</v>
      </c>
    </row>
    <row r="84" spans="1:11" x14ac:dyDescent="0.25">
      <c r="A84" s="13"/>
      <c r="B84" s="14"/>
    </row>
    <row r="85" spans="1:11" x14ac:dyDescent="0.25">
      <c r="A85" s="77" t="s">
        <v>20</v>
      </c>
      <c r="B85" s="78"/>
      <c r="C85" s="78"/>
      <c r="D85" s="78"/>
      <c r="E85" s="78"/>
      <c r="F85" s="79"/>
    </row>
    <row r="86" spans="1:11" x14ac:dyDescent="0.25">
      <c r="A86" s="15" t="s">
        <v>21</v>
      </c>
      <c r="B86" s="16" t="s">
        <v>22</v>
      </c>
      <c r="C86" s="17" t="s">
        <v>23</v>
      </c>
      <c r="D86" s="17" t="s">
        <v>24</v>
      </c>
      <c r="E86" s="17" t="s">
        <v>25</v>
      </c>
      <c r="F86" s="16" t="s">
        <v>26</v>
      </c>
    </row>
    <row r="87" spans="1:11" x14ac:dyDescent="0.25">
      <c r="A87" s="18">
        <v>0</v>
      </c>
      <c r="B87" s="19">
        <f>60%*B35</f>
        <v>18600000</v>
      </c>
      <c r="C87" s="89"/>
      <c r="D87" s="19"/>
      <c r="E87" s="89"/>
      <c r="F87" s="19"/>
    </row>
    <row r="88" spans="1:11" x14ac:dyDescent="0.25">
      <c r="A88" s="18">
        <v>1</v>
      </c>
      <c r="B88" s="19">
        <f>B87+D88</f>
        <v>20181000</v>
      </c>
      <c r="C88" s="89"/>
      <c r="D88" s="19">
        <f>8.5%*B87</f>
        <v>1581000</v>
      </c>
      <c r="E88" s="89"/>
      <c r="F88" s="19"/>
    </row>
    <row r="89" spans="1:11" x14ac:dyDescent="0.25">
      <c r="A89" s="18">
        <v>2</v>
      </c>
      <c r="B89" s="19">
        <f>B88+D89</f>
        <v>21896385</v>
      </c>
      <c r="C89" s="89"/>
      <c r="D89" s="19">
        <f t="shared" ref="D89:D96" si="11">8.5%*B88</f>
        <v>1715385.0000000002</v>
      </c>
      <c r="E89" s="89"/>
      <c r="F89" s="19"/>
      <c r="H89" s="14">
        <v>0.29499999999999998</v>
      </c>
    </row>
    <row r="90" spans="1:11" x14ac:dyDescent="0.25">
      <c r="A90" s="20">
        <v>3</v>
      </c>
      <c r="B90" s="19">
        <f>B89+D90</f>
        <v>23757577.725000001</v>
      </c>
      <c r="C90" s="89"/>
      <c r="D90" s="19">
        <f t="shared" si="11"/>
        <v>1861192.7250000001</v>
      </c>
      <c r="E90" s="89"/>
      <c r="F90" s="19"/>
    </row>
    <row r="91" spans="1:11" x14ac:dyDescent="0.25">
      <c r="A91" s="20">
        <v>4</v>
      </c>
      <c r="B91" s="19">
        <f>B90-C91</f>
        <v>21121100.029566735</v>
      </c>
      <c r="C91" s="19">
        <f>F91-D91</f>
        <v>2636477.6954332674</v>
      </c>
      <c r="D91" s="19">
        <f t="shared" si="11"/>
        <v>2019394.1066250002</v>
      </c>
      <c r="E91" s="19">
        <f>29.5%*D91</f>
        <v>595721.261454375</v>
      </c>
      <c r="F91" s="19">
        <v>4655871.8020582674</v>
      </c>
    </row>
    <row r="92" spans="1:11" x14ac:dyDescent="0.25">
      <c r="A92" s="18">
        <v>5</v>
      </c>
      <c r="B92" s="19">
        <f t="shared" ref="B92:B96" si="12">B91-C92</f>
        <v>18027728.139918726</v>
      </c>
      <c r="C92" s="19">
        <f t="shared" ref="C92:C96" si="13">F92-D92</f>
        <v>3093371.8896480086</v>
      </c>
      <c r="D92" s="19">
        <f t="shared" si="11"/>
        <v>1795293.5025131726</v>
      </c>
      <c r="E92" s="19">
        <f t="shared" ref="E92:E96" si="14">29.5%*D92</f>
        <v>529611.58324138587</v>
      </c>
      <c r="F92" s="19">
        <f>F91+5%*F91</f>
        <v>4888665.3921611812</v>
      </c>
    </row>
    <row r="93" spans="1:11" x14ac:dyDescent="0.25">
      <c r="A93" s="18">
        <v>6</v>
      </c>
      <c r="B93" s="19">
        <f t="shared" si="12"/>
        <v>14426986.370042577</v>
      </c>
      <c r="C93" s="19">
        <f t="shared" si="13"/>
        <v>3600741.7698761486</v>
      </c>
      <c r="D93" s="19">
        <f t="shared" si="11"/>
        <v>1532356.8918930918</v>
      </c>
      <c r="E93" s="19">
        <f t="shared" si="14"/>
        <v>452045.28310846206</v>
      </c>
      <c r="F93" s="19">
        <f t="shared" ref="F93:F96" si="15">F92+5%*F92</f>
        <v>5133098.6617692402</v>
      </c>
    </row>
    <row r="94" spans="1:11" x14ac:dyDescent="0.25">
      <c r="A94" s="18">
        <v>7</v>
      </c>
      <c r="B94" s="19">
        <f t="shared" si="12"/>
        <v>10263526.616638495</v>
      </c>
      <c r="C94" s="19">
        <f t="shared" si="13"/>
        <v>4163459.7534040827</v>
      </c>
      <c r="D94" s="19">
        <f t="shared" si="11"/>
        <v>1226293.8414536191</v>
      </c>
      <c r="E94" s="19">
        <f t="shared" si="14"/>
        <v>361756.68322881759</v>
      </c>
      <c r="F94" s="19">
        <f t="shared" si="15"/>
        <v>5389753.594857702</v>
      </c>
    </row>
    <row r="95" spans="1:11" x14ac:dyDescent="0.25">
      <c r="A95" s="18">
        <v>8</v>
      </c>
      <c r="B95" s="19">
        <f t="shared" si="12"/>
        <v>5476685.1044521797</v>
      </c>
      <c r="C95" s="19">
        <f t="shared" si="13"/>
        <v>4786841.5121863149</v>
      </c>
      <c r="D95" s="19">
        <f t="shared" si="11"/>
        <v>872399.76241427206</v>
      </c>
      <c r="E95" s="19">
        <f t="shared" si="14"/>
        <v>257357.92991221024</v>
      </c>
      <c r="F95" s="19">
        <f t="shared" si="15"/>
        <v>5659241.2746005869</v>
      </c>
    </row>
    <row r="96" spans="1:11" x14ac:dyDescent="0.25">
      <c r="A96" s="18">
        <v>9</v>
      </c>
      <c r="B96" s="19">
        <f t="shared" si="12"/>
        <v>0</v>
      </c>
      <c r="C96" s="19">
        <f t="shared" si="13"/>
        <v>5476685.1044521807</v>
      </c>
      <c r="D96" s="19">
        <f t="shared" si="11"/>
        <v>465518.23387843533</v>
      </c>
      <c r="E96" s="19">
        <f t="shared" si="14"/>
        <v>137327.87899413842</v>
      </c>
      <c r="F96" s="19">
        <f t="shared" si="15"/>
        <v>5942203.3383306162</v>
      </c>
    </row>
    <row r="97" spans="1:11" x14ac:dyDescent="0.25">
      <c r="A97" s="21"/>
      <c r="B97" s="22">
        <f>B96+B96</f>
        <v>0</v>
      </c>
      <c r="C97" s="22"/>
      <c r="D97" s="22"/>
      <c r="E97" s="22"/>
      <c r="F97" s="22"/>
    </row>
    <row r="98" spans="1:11" x14ac:dyDescent="0.25">
      <c r="A98" s="21"/>
      <c r="B98" s="22"/>
      <c r="C98" s="22"/>
      <c r="D98" s="22"/>
      <c r="E98" s="23"/>
      <c r="F98" s="22"/>
      <c r="G98" t="s">
        <v>66</v>
      </c>
      <c r="H98" s="14">
        <v>3.5999999999999997E-2</v>
      </c>
    </row>
    <row r="99" spans="1:11" x14ac:dyDescent="0.25">
      <c r="A99" s="21"/>
      <c r="B99" s="22"/>
      <c r="C99" s="22"/>
      <c r="D99" s="22"/>
      <c r="E99" s="23"/>
      <c r="F99" s="22"/>
    </row>
    <row r="100" spans="1:11" x14ac:dyDescent="0.25">
      <c r="A100" s="21"/>
      <c r="B100" s="22"/>
      <c r="C100" s="22"/>
      <c r="D100" s="22"/>
      <c r="E100" s="22"/>
      <c r="F100" s="22"/>
    </row>
    <row r="101" spans="1:11" x14ac:dyDescent="0.25">
      <c r="A101" s="21"/>
      <c r="B101" s="22"/>
      <c r="C101" s="22"/>
      <c r="D101" s="22"/>
      <c r="E101" s="22"/>
      <c r="F101" s="22"/>
      <c r="G101" s="13" t="s">
        <v>77</v>
      </c>
    </row>
    <row r="102" spans="1:11" x14ac:dyDescent="0.25">
      <c r="A102" s="21"/>
      <c r="B102" s="22"/>
      <c r="C102" s="22"/>
      <c r="D102" s="22"/>
      <c r="E102" s="22"/>
      <c r="F102" s="22"/>
      <c r="G102" s="13" t="s">
        <v>78</v>
      </c>
    </row>
    <row r="103" spans="1:11" x14ac:dyDescent="0.25">
      <c r="A103" s="21"/>
      <c r="B103" s="22"/>
      <c r="C103" s="22"/>
      <c r="D103" s="22"/>
      <c r="E103" s="22"/>
      <c r="F103" s="22"/>
    </row>
    <row r="104" spans="1:11" x14ac:dyDescent="0.25">
      <c r="F104" s="22"/>
      <c r="G104" t="s">
        <v>81</v>
      </c>
      <c r="H104" s="14">
        <f>2.5%</f>
        <v>2.5000000000000001E-2</v>
      </c>
      <c r="J104" t="s">
        <v>84</v>
      </c>
      <c r="K104" s="14">
        <f>8.5%</f>
        <v>8.5000000000000006E-2</v>
      </c>
    </row>
    <row r="105" spans="1:11" x14ac:dyDescent="0.25">
      <c r="E105" s="1"/>
      <c r="F105" s="22"/>
      <c r="G105" t="s">
        <v>82</v>
      </c>
      <c r="H105" s="14">
        <v>6.4000000000000001E-2</v>
      </c>
      <c r="J105" t="s">
        <v>85</v>
      </c>
      <c r="K105" s="14">
        <f>H89</f>
        <v>0.29499999999999998</v>
      </c>
    </row>
    <row r="106" spans="1:11" x14ac:dyDescent="0.25">
      <c r="B106" t="s">
        <v>79</v>
      </c>
      <c r="C106">
        <v>1.05</v>
      </c>
      <c r="F106" s="22"/>
      <c r="G106" t="s">
        <v>83</v>
      </c>
      <c r="H106" s="14">
        <v>3.5999999999999997E-2</v>
      </c>
      <c r="J106" s="24" t="s">
        <v>27</v>
      </c>
      <c r="K106" s="25">
        <f>K104*(1-K105)</f>
        <v>5.9925000000000013E-2</v>
      </c>
    </row>
    <row r="107" spans="1:11" x14ac:dyDescent="0.25">
      <c r="B107" t="s">
        <v>80</v>
      </c>
      <c r="C107">
        <v>1.9</v>
      </c>
      <c r="E107">
        <v>1.5</v>
      </c>
      <c r="F107" s="22"/>
      <c r="H107" s="14"/>
    </row>
    <row r="108" spans="1:11" x14ac:dyDescent="0.25">
      <c r="F108" s="22"/>
      <c r="H108" s="26"/>
    </row>
    <row r="109" spans="1:11" x14ac:dyDescent="0.25">
      <c r="A109" s="27" t="s">
        <v>28</v>
      </c>
      <c r="B109" s="28">
        <f>C106/(1+(1-H89)*C107)</f>
        <v>0.44881384911305833</v>
      </c>
      <c r="D109" s="27" t="s">
        <v>29</v>
      </c>
      <c r="E109" s="28">
        <f>B109*(1+(1-H89)*E107)</f>
        <v>0.9234344945501175</v>
      </c>
      <c r="F109" s="22"/>
      <c r="G109" s="24" t="s">
        <v>30</v>
      </c>
      <c r="H109" s="90">
        <f>H104+E109*(H105)+H106</f>
        <v>0.12009980765120754</v>
      </c>
    </row>
    <row r="110" spans="1:11" x14ac:dyDescent="0.25">
      <c r="B110" s="1"/>
      <c r="E110" s="28"/>
      <c r="F110" s="22"/>
    </row>
    <row r="111" spans="1:11" x14ac:dyDescent="0.25">
      <c r="B111" s="1" t="s">
        <v>65</v>
      </c>
      <c r="C111" s="91">
        <f>B35</f>
        <v>31000000</v>
      </c>
      <c r="E111" s="28"/>
      <c r="F111" s="22"/>
    </row>
    <row r="112" spans="1:11" x14ac:dyDescent="0.25">
      <c r="B112" s="1" t="s">
        <v>86</v>
      </c>
      <c r="C112" s="92">
        <f>B87</f>
        <v>18600000</v>
      </c>
      <c r="D112" s="82">
        <f>C112/C111</f>
        <v>0.6</v>
      </c>
      <c r="E112" s="94">
        <f>K106</f>
        <v>5.9925000000000013E-2</v>
      </c>
      <c r="F112" s="22"/>
    </row>
    <row r="113" spans="1:11" x14ac:dyDescent="0.25">
      <c r="B113" s="1" t="s">
        <v>87</v>
      </c>
      <c r="C113" s="92">
        <f>C111-C112</f>
        <v>12400000</v>
      </c>
      <c r="D113" s="82">
        <f>C113/C111</f>
        <v>0.4</v>
      </c>
      <c r="E113" s="14">
        <f>H109</f>
        <v>0.12009980765120754</v>
      </c>
      <c r="F113" s="22"/>
    </row>
    <row r="114" spans="1:11" x14ac:dyDescent="0.25">
      <c r="B114" s="1"/>
      <c r="C114" s="29"/>
      <c r="D114" s="30"/>
      <c r="F114" s="22"/>
    </row>
    <row r="115" spans="1:11" x14ac:dyDescent="0.25">
      <c r="B115" s="1"/>
      <c r="C115" s="31" t="s">
        <v>31</v>
      </c>
      <c r="D115" s="93">
        <f>D112*E112+D113*E113</f>
        <v>8.3994923060483034E-2</v>
      </c>
      <c r="F115" s="22"/>
    </row>
    <row r="116" spans="1:11" x14ac:dyDescent="0.25">
      <c r="A116" s="21"/>
      <c r="B116" s="22"/>
      <c r="C116" s="22"/>
      <c r="D116" s="22"/>
      <c r="E116" s="22"/>
      <c r="F116" s="22"/>
    </row>
    <row r="117" spans="1:11" ht="15.75" thickBot="1" x14ac:dyDescent="0.3"/>
    <row r="118" spans="1:11" ht="15.75" thickBot="1" x14ac:dyDescent="0.3">
      <c r="A118" s="80" t="s">
        <v>32</v>
      </c>
      <c r="B118" s="81"/>
      <c r="C118" s="81"/>
      <c r="D118" s="81"/>
      <c r="E118" s="81"/>
      <c r="F118" s="81"/>
      <c r="G118" s="81"/>
      <c r="H118" s="81"/>
      <c r="I118" s="81"/>
      <c r="J118" s="81"/>
      <c r="K118" s="81"/>
    </row>
    <row r="119" spans="1:11" x14ac:dyDescent="0.25">
      <c r="A119" s="32" t="s">
        <v>33</v>
      </c>
      <c r="B119" s="33">
        <v>0</v>
      </c>
      <c r="C119" s="33">
        <v>1</v>
      </c>
      <c r="D119" s="33">
        <v>2</v>
      </c>
      <c r="E119" s="34">
        <v>3</v>
      </c>
      <c r="F119" s="34">
        <v>4</v>
      </c>
      <c r="G119" s="34">
        <v>5</v>
      </c>
      <c r="H119" s="34">
        <v>6</v>
      </c>
      <c r="I119" s="34">
        <v>7</v>
      </c>
      <c r="J119" s="34">
        <v>8</v>
      </c>
      <c r="K119" s="34">
        <v>9</v>
      </c>
    </row>
    <row r="120" spans="1:11" x14ac:dyDescent="0.25">
      <c r="A120" s="35" t="s">
        <v>34</v>
      </c>
      <c r="B120" s="36"/>
      <c r="C120" s="37">
        <v>11600000</v>
      </c>
      <c r="D120" s="37">
        <v>12296000</v>
      </c>
      <c r="E120" s="37">
        <v>13555110.4</v>
      </c>
      <c r="F120" s="37">
        <v>14368417.024</v>
      </c>
      <c r="G120" s="37">
        <v>15839742.927257601</v>
      </c>
      <c r="H120" s="37">
        <v>16790127.502893057</v>
      </c>
      <c r="I120" s="37">
        <v>18509436.559189305</v>
      </c>
      <c r="J120" s="37">
        <v>19572633.599999998</v>
      </c>
      <c r="K120" s="37">
        <v>20355538.943999998</v>
      </c>
    </row>
    <row r="121" spans="1:11" x14ac:dyDescent="0.25">
      <c r="A121" s="38" t="s">
        <v>35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39" t="s">
        <v>36</v>
      </c>
      <c r="B122" s="4"/>
      <c r="C122" s="40">
        <v>2268000.0000000005</v>
      </c>
      <c r="D122" s="40">
        <v>2404080.0000000005</v>
      </c>
      <c r="E122" s="40">
        <v>2548324.8000000003</v>
      </c>
      <c r="F122" s="40">
        <v>2701224.2880000006</v>
      </c>
      <c r="G122" s="40">
        <v>2863297.7452800008</v>
      </c>
      <c r="H122" s="40">
        <v>3035095.6099968008</v>
      </c>
      <c r="I122" s="40">
        <v>3217201.3465966089</v>
      </c>
      <c r="J122" s="40">
        <v>3402000.0000000005</v>
      </c>
      <c r="K122" s="40">
        <v>3402000.0000000005</v>
      </c>
    </row>
    <row r="123" spans="1:11" x14ac:dyDescent="0.25">
      <c r="A123" s="39" t="s">
        <v>37</v>
      </c>
      <c r="B123" s="4"/>
      <c r="C123" s="40">
        <v>2000000</v>
      </c>
      <c r="D123" s="40">
        <v>2120000</v>
      </c>
      <c r="E123" s="40">
        <v>2303380</v>
      </c>
      <c r="F123" s="40">
        <v>2441582.8000000003</v>
      </c>
      <c r="G123" s="40">
        <v>2652779.7122</v>
      </c>
      <c r="H123" s="40">
        <v>2811946.4949320005</v>
      </c>
      <c r="I123" s="40">
        <v>3055179.8667436182</v>
      </c>
      <c r="J123" s="40">
        <v>3230671.8749999995</v>
      </c>
      <c r="K123" s="40">
        <v>3311438.6718749995</v>
      </c>
    </row>
    <row r="124" spans="1:11" x14ac:dyDescent="0.25">
      <c r="A124" s="39" t="s">
        <v>38</v>
      </c>
      <c r="B124" s="4"/>
      <c r="C124" s="40">
        <v>2500000</v>
      </c>
      <c r="D124" s="40">
        <v>2562500</v>
      </c>
      <c r="E124" s="40">
        <v>2626562.5</v>
      </c>
      <c r="F124" s="40">
        <v>2692226.5625</v>
      </c>
      <c r="G124" s="40">
        <v>2759532.2265625</v>
      </c>
      <c r="H124" s="40">
        <v>2828520.5322265625</v>
      </c>
      <c r="I124" s="40">
        <v>2899233.5455322266</v>
      </c>
      <c r="J124" s="40">
        <v>2971714.3841705322</v>
      </c>
      <c r="K124" s="40">
        <v>3046007.2437747954</v>
      </c>
    </row>
    <row r="125" spans="1:11" x14ac:dyDescent="0.25">
      <c r="A125" s="41" t="s">
        <v>39</v>
      </c>
      <c r="B125" s="4"/>
      <c r="C125" s="40">
        <v>1200000</v>
      </c>
      <c r="D125" s="40">
        <v>1200000</v>
      </c>
      <c r="E125" s="40">
        <v>1260000</v>
      </c>
      <c r="F125" s="40">
        <v>1260000</v>
      </c>
      <c r="G125" s="40">
        <v>1320000</v>
      </c>
      <c r="H125" s="40">
        <v>1320000</v>
      </c>
      <c r="I125" s="40">
        <v>1380000</v>
      </c>
      <c r="J125" s="40">
        <v>1380000</v>
      </c>
      <c r="K125" s="40">
        <v>1440000</v>
      </c>
    </row>
    <row r="126" spans="1:11" ht="15.75" thickBot="1" x14ac:dyDescent="0.3">
      <c r="A126" s="41" t="s">
        <v>40</v>
      </c>
      <c r="B126" s="42"/>
      <c r="C126" s="43">
        <f t="array" ref="C126:K126">TRANSPOSE(B47:B55)</f>
        <v>1983333.3333333333</v>
      </c>
      <c r="D126" s="43">
        <v>1983333.3333333333</v>
      </c>
      <c r="E126" s="43">
        <v>1983333.3333333333</v>
      </c>
      <c r="F126" s="43">
        <v>1983333.3333333333</v>
      </c>
      <c r="G126" s="43">
        <v>1983333.3333333333</v>
      </c>
      <c r="H126" s="43">
        <v>1983333.3333333333</v>
      </c>
      <c r="I126" s="43">
        <v>1983333.3333333333</v>
      </c>
      <c r="J126" s="43">
        <v>1983333.3333333333</v>
      </c>
      <c r="K126" s="43">
        <v>1983333.3333333333</v>
      </c>
    </row>
    <row r="127" spans="1:11" ht="15.75" thickBot="1" x14ac:dyDescent="0.3">
      <c r="A127" s="44" t="s">
        <v>41</v>
      </c>
      <c r="B127" s="45"/>
      <c r="C127" s="46">
        <f>C120-C122-C123-C124-C125-C126</f>
        <v>1648666.6666666667</v>
      </c>
      <c r="D127" s="46">
        <f t="shared" ref="D127:K127" si="16">D120-D122-D123-D124-D125-D126</f>
        <v>2026086.6666666667</v>
      </c>
      <c r="E127" s="46">
        <f t="shared" si="16"/>
        <v>2833509.7666666666</v>
      </c>
      <c r="F127" s="46">
        <f t="shared" si="16"/>
        <v>3290050.0401666658</v>
      </c>
      <c r="G127" s="46">
        <f t="shared" si="16"/>
        <v>4260799.909881766</v>
      </c>
      <c r="H127" s="46">
        <f t="shared" si="16"/>
        <v>4811231.5324043585</v>
      </c>
      <c r="I127" s="46">
        <f t="shared" si="16"/>
        <v>5974488.4669835167</v>
      </c>
      <c r="J127" s="46">
        <f t="shared" si="16"/>
        <v>6604914.0074961325</v>
      </c>
      <c r="K127" s="46">
        <f t="shared" si="16"/>
        <v>7172759.6950168693</v>
      </c>
    </row>
    <row r="128" spans="1:11" ht="15.75" thickBot="1" x14ac:dyDescent="0.3">
      <c r="A128" s="47" t="s">
        <v>42</v>
      </c>
      <c r="B128" s="48"/>
      <c r="C128" s="43">
        <f>C127*29.5%</f>
        <v>486356.66666666669</v>
      </c>
      <c r="D128" s="43">
        <f t="shared" ref="D128:K128" si="17">D127*29.5%</f>
        <v>597695.56666666665</v>
      </c>
      <c r="E128" s="43">
        <f t="shared" si="17"/>
        <v>835885.38116666663</v>
      </c>
      <c r="F128" s="43">
        <f t="shared" si="17"/>
        <v>970564.76184916636</v>
      </c>
      <c r="G128" s="43">
        <f>G127*29.5%</f>
        <v>1256935.973415121</v>
      </c>
      <c r="H128" s="43">
        <f>H127*29.5%</f>
        <v>1419313.3020592856</v>
      </c>
      <c r="I128" s="43">
        <f t="shared" si="17"/>
        <v>1762474.0977601374</v>
      </c>
      <c r="J128" s="43">
        <f t="shared" si="17"/>
        <v>1948449.632211359</v>
      </c>
      <c r="K128" s="43">
        <f t="shared" si="17"/>
        <v>2115964.1100299763</v>
      </c>
    </row>
    <row r="129" spans="1:11" ht="15.75" thickBot="1" x14ac:dyDescent="0.3">
      <c r="A129" s="44" t="s">
        <v>43</v>
      </c>
      <c r="B129" s="45"/>
      <c r="C129" s="46">
        <f>C127-C128</f>
        <v>1162310</v>
      </c>
      <c r="D129" s="46">
        <f t="shared" ref="D129:K129" si="18">D127-D128</f>
        <v>1428391.1</v>
      </c>
      <c r="E129" s="46">
        <f t="shared" si="18"/>
        <v>1997624.3854999999</v>
      </c>
      <c r="F129" s="46">
        <f t="shared" si="18"/>
        <v>2319485.2783174994</v>
      </c>
      <c r="G129" s="46">
        <f t="shared" si="18"/>
        <v>3003863.936466645</v>
      </c>
      <c r="H129" s="46">
        <f t="shared" si="18"/>
        <v>3391918.2303450732</v>
      </c>
      <c r="I129" s="46">
        <f t="shared" si="18"/>
        <v>4212014.3692233795</v>
      </c>
      <c r="J129" s="46">
        <f t="shared" si="18"/>
        <v>4656464.3752847733</v>
      </c>
      <c r="K129" s="46">
        <f t="shared" si="18"/>
        <v>5056795.5849868935</v>
      </c>
    </row>
    <row r="130" spans="1:11" ht="15.75" thickBot="1" x14ac:dyDescent="0.3">
      <c r="A130" s="49" t="s">
        <v>44</v>
      </c>
      <c r="B130" s="48"/>
      <c r="C130" s="50">
        <v>1983333.3333333333</v>
      </c>
      <c r="D130" s="50">
        <v>1983333.3333333333</v>
      </c>
      <c r="E130" s="50">
        <v>1983333.3333333333</v>
      </c>
      <c r="F130" s="50">
        <v>1983333.3333333333</v>
      </c>
      <c r="G130" s="50">
        <v>1983333.3333333333</v>
      </c>
      <c r="H130" s="50">
        <v>1983333.3333333333</v>
      </c>
      <c r="I130" s="50">
        <v>1983333.3333333333</v>
      </c>
      <c r="J130" s="50">
        <v>1983333.3333333333</v>
      </c>
      <c r="K130" s="50">
        <v>1983333.3333333333</v>
      </c>
    </row>
    <row r="131" spans="1:11" ht="15.75" thickBot="1" x14ac:dyDescent="0.3">
      <c r="A131" s="44" t="s">
        <v>45</v>
      </c>
      <c r="B131" s="45"/>
      <c r="C131" s="46">
        <f>C129+C130</f>
        <v>3145643.333333333</v>
      </c>
      <c r="D131" s="46">
        <f t="shared" ref="D131:K131" si="19">D129+D130</f>
        <v>3411724.4333333336</v>
      </c>
      <c r="E131" s="46">
        <f t="shared" si="19"/>
        <v>3980957.7188333329</v>
      </c>
      <c r="F131" s="46">
        <f t="shared" si="19"/>
        <v>4302818.6116508329</v>
      </c>
      <c r="G131" s="46">
        <f t="shared" si="19"/>
        <v>4987197.2697999785</v>
      </c>
      <c r="H131" s="46">
        <f t="shared" si="19"/>
        <v>5375251.5636784062</v>
      </c>
      <c r="I131" s="46">
        <f t="shared" si="19"/>
        <v>6195347.7025567126</v>
      </c>
      <c r="J131" s="46">
        <f t="shared" si="19"/>
        <v>6639797.7086181063</v>
      </c>
      <c r="K131" s="46">
        <f t="shared" si="19"/>
        <v>7040128.9183202265</v>
      </c>
    </row>
    <row r="132" spans="1:11" x14ac:dyDescent="0.25">
      <c r="A132" s="51" t="s">
        <v>46</v>
      </c>
      <c r="B132" s="52">
        <f>C111</f>
        <v>31000000</v>
      </c>
      <c r="C132" s="52"/>
      <c r="D132" s="52"/>
      <c r="E132" s="52"/>
      <c r="F132" s="52"/>
      <c r="G132" s="52"/>
      <c r="H132" s="52"/>
      <c r="I132" s="52"/>
      <c r="J132" s="52"/>
      <c r="K132" s="52"/>
    </row>
    <row r="133" spans="1:11" x14ac:dyDescent="0.25">
      <c r="A133" s="53" t="s">
        <v>47</v>
      </c>
      <c r="B133" s="54">
        <f>C113</f>
        <v>12400000</v>
      </c>
      <c r="C133" s="54"/>
      <c r="D133" s="54"/>
      <c r="E133" s="54"/>
      <c r="F133" s="54"/>
      <c r="G133" s="54"/>
      <c r="H133" s="54"/>
      <c r="I133" s="54"/>
      <c r="J133" s="54"/>
      <c r="K133" s="54"/>
    </row>
    <row r="134" spans="1:11" ht="15.75" thickBot="1" x14ac:dyDescent="0.3">
      <c r="A134" s="55" t="s">
        <v>48</v>
      </c>
      <c r="B134" s="56"/>
      <c r="C134" s="56"/>
      <c r="D134" s="56"/>
      <c r="E134" s="56"/>
      <c r="F134" s="56"/>
      <c r="G134" s="56"/>
      <c r="H134" s="56"/>
      <c r="I134" s="56"/>
      <c r="J134" s="57"/>
      <c r="K134" s="57">
        <f>B68</f>
        <v>0</v>
      </c>
    </row>
    <row r="135" spans="1:11" ht="15.75" thickBot="1" x14ac:dyDescent="0.3">
      <c r="A135" s="58" t="s">
        <v>49</v>
      </c>
      <c r="B135" s="59">
        <f>-B132-B133</f>
        <v>-43400000</v>
      </c>
      <c r="C135" s="59">
        <f>SUM(C131:C134)</f>
        <v>3145643.333333333</v>
      </c>
      <c r="D135" s="59">
        <f t="shared" ref="D135:K135" si="20">SUM(D131:D134)</f>
        <v>3411724.4333333336</v>
      </c>
      <c r="E135" s="59">
        <f t="shared" si="20"/>
        <v>3980957.7188333329</v>
      </c>
      <c r="F135" s="59">
        <f t="shared" si="20"/>
        <v>4302818.6116508329</v>
      </c>
      <c r="G135" s="59">
        <f t="shared" si="20"/>
        <v>4987197.2697999785</v>
      </c>
      <c r="H135" s="59">
        <f t="shared" si="20"/>
        <v>5375251.5636784062</v>
      </c>
      <c r="I135" s="59">
        <f t="shared" si="20"/>
        <v>6195347.7025567126</v>
      </c>
      <c r="J135" s="59">
        <f t="shared" si="20"/>
        <v>6639797.7086181063</v>
      </c>
      <c r="K135" s="59">
        <f t="shared" si="20"/>
        <v>7040128.9183202265</v>
      </c>
    </row>
    <row r="136" spans="1:11" x14ac:dyDescent="0.25">
      <c r="A136" s="60" t="s">
        <v>50</v>
      </c>
      <c r="B136" s="61">
        <f>B87</f>
        <v>18600000</v>
      </c>
      <c r="C136" s="61"/>
      <c r="D136" s="61"/>
      <c r="E136" s="61"/>
      <c r="F136" s="61"/>
      <c r="G136" s="61"/>
      <c r="H136" s="61"/>
      <c r="I136" s="61"/>
      <c r="J136" s="61"/>
      <c r="K136" s="61"/>
    </row>
    <row r="137" spans="1:11" x14ac:dyDescent="0.25">
      <c r="A137" s="62" t="s">
        <v>51</v>
      </c>
      <c r="B137" s="9"/>
      <c r="C137" s="61"/>
      <c r="D137" s="61"/>
      <c r="E137" s="61"/>
      <c r="F137" s="9">
        <f t="array" ref="F137:K139">TRANSPOSE(C91:E96)</f>
        <v>2636477.6954332674</v>
      </c>
      <c r="G137" s="9">
        <v>3093371.8896480086</v>
      </c>
      <c r="H137" s="9">
        <v>3600741.7698761486</v>
      </c>
      <c r="I137" s="9">
        <v>4163459.7534040827</v>
      </c>
      <c r="J137" s="9">
        <v>4786841.5121863149</v>
      </c>
      <c r="K137" s="9">
        <v>5476685.1044521807</v>
      </c>
    </row>
    <row r="138" spans="1:11" x14ac:dyDescent="0.25">
      <c r="A138" s="62" t="s">
        <v>52</v>
      </c>
      <c r="B138" s="9"/>
      <c r="C138" s="61"/>
      <c r="D138" s="61"/>
      <c r="E138" s="61"/>
      <c r="F138" s="9">
        <v>2019394.1066250002</v>
      </c>
      <c r="G138" s="9">
        <v>1795293.5025131726</v>
      </c>
      <c r="H138" s="9">
        <v>1532356.8918930918</v>
      </c>
      <c r="I138" s="9">
        <v>1226293.8414536191</v>
      </c>
      <c r="J138" s="9">
        <v>872399.76241427206</v>
      </c>
      <c r="K138" s="9">
        <v>465518.23387843533</v>
      </c>
    </row>
    <row r="139" spans="1:11" ht="15.75" thickBot="1" x14ac:dyDescent="0.3">
      <c r="A139" s="64" t="s">
        <v>53</v>
      </c>
      <c r="B139" s="63"/>
      <c r="C139" s="61"/>
      <c r="D139" s="61"/>
      <c r="E139" s="61"/>
      <c r="F139" s="63">
        <v>595721.261454375</v>
      </c>
      <c r="G139" s="63">
        <v>529611.58324138587</v>
      </c>
      <c r="H139" s="63">
        <v>452045.28310846206</v>
      </c>
      <c r="I139" s="63">
        <v>361756.68322881759</v>
      </c>
      <c r="J139" s="63">
        <v>257357.92991221024</v>
      </c>
      <c r="K139" s="63">
        <v>137327.87899413842</v>
      </c>
    </row>
    <row r="140" spans="1:11" ht="15.75" thickBot="1" x14ac:dyDescent="0.3">
      <c r="A140" s="65" t="s">
        <v>54</v>
      </c>
      <c r="B140" s="66">
        <f>B136+B135</f>
        <v>-24800000</v>
      </c>
      <c r="C140" s="66">
        <f>C135</f>
        <v>3145643.333333333</v>
      </c>
      <c r="D140" s="66">
        <f t="shared" ref="D140:E140" si="21">D135</f>
        <v>3411724.4333333336</v>
      </c>
      <c r="E140" s="66">
        <f t="shared" si="21"/>
        <v>3980957.7188333329</v>
      </c>
      <c r="F140" s="66">
        <f>F139-F138-F137+F136+F135</f>
        <v>242668.07104694005</v>
      </c>
      <c r="G140" s="66">
        <f t="shared" ref="G140:K140" si="22">G139-G138-G137+G136+G135</f>
        <v>628143.46088018361</v>
      </c>
      <c r="H140" s="66">
        <f t="shared" si="22"/>
        <v>694198.18501762766</v>
      </c>
      <c r="I140" s="66">
        <f t="shared" si="22"/>
        <v>1167350.7909278283</v>
      </c>
      <c r="J140" s="66">
        <f t="shared" si="22"/>
        <v>1237914.3639297299</v>
      </c>
      <c r="K140" s="66">
        <f t="shared" si="22"/>
        <v>1235253.4589837492</v>
      </c>
    </row>
    <row r="142" spans="1:11" x14ac:dyDescent="0.25">
      <c r="A142" s="71" t="s">
        <v>55</v>
      </c>
      <c r="B142" s="71"/>
      <c r="C142" s="71"/>
    </row>
    <row r="143" spans="1:11" x14ac:dyDescent="0.25">
      <c r="A143" s="67" t="s">
        <v>56</v>
      </c>
      <c r="B143" s="68"/>
      <c r="C143" s="4"/>
    </row>
    <row r="144" spans="1:11" x14ac:dyDescent="0.25">
      <c r="A144" s="67" t="s">
        <v>57</v>
      </c>
      <c r="B144" s="9"/>
      <c r="C144" s="4"/>
    </row>
    <row r="145" spans="1:3" x14ac:dyDescent="0.25">
      <c r="A145" s="67" t="s">
        <v>58</v>
      </c>
      <c r="B145" s="69"/>
      <c r="C145" s="4"/>
    </row>
    <row r="147" spans="1:3" x14ac:dyDescent="0.25">
      <c r="A147" s="72" t="s">
        <v>59</v>
      </c>
      <c r="B147" s="72"/>
      <c r="C147" s="72"/>
    </row>
    <row r="148" spans="1:3" x14ac:dyDescent="0.25">
      <c r="A148" s="67" t="s">
        <v>31</v>
      </c>
      <c r="B148" s="68"/>
      <c r="C148" s="4"/>
    </row>
    <row r="149" spans="1:3" x14ac:dyDescent="0.25">
      <c r="A149" s="67" t="s">
        <v>57</v>
      </c>
      <c r="B149" s="9"/>
      <c r="C149" s="4"/>
    </row>
    <row r="150" spans="1:3" x14ac:dyDescent="0.25">
      <c r="A150" s="70" t="s">
        <v>58</v>
      </c>
      <c r="B150" s="69"/>
      <c r="C150" s="4"/>
    </row>
  </sheetData>
  <mergeCells count="7">
    <mergeCell ref="A142:C142"/>
    <mergeCell ref="A147:C147"/>
    <mergeCell ref="A59:B59"/>
    <mergeCell ref="A70:K70"/>
    <mergeCell ref="A75:K75"/>
    <mergeCell ref="A85:F85"/>
    <mergeCell ref="A118:K1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ALUMNO D102</cp:lastModifiedBy>
  <dcterms:created xsi:type="dcterms:W3CDTF">2025-07-02T01:25:11Z</dcterms:created>
  <dcterms:modified xsi:type="dcterms:W3CDTF">2025-07-02T17:12:23Z</dcterms:modified>
</cp:coreProperties>
</file>